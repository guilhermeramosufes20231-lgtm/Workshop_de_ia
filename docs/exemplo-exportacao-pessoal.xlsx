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ações" sheetId="1" r:id="rId1"/>
    <sheet name="Resumo" sheetId="2" r:id="rId2"/>
    <sheet name="Categorias" sheetId="3" r:id="rId3"/>
    <sheet name="Análise temporal" sheetId="4" r:id="rId4"/>
    <sheet name="Recomendações" sheetId="5" r:id="rId5"/>
    <sheet name="Simulação" sheetId="6" r:id="rId6"/>
    <sheet name="Avisos" sheetId="7" r:id="rId7"/>
  </sheets>
  <calcPr calcId="124519" fullCalcOnLoad="1"/>
</workbook>
</file>

<file path=xl/sharedStrings.xml><?xml version="1.0" encoding="utf-8"?>
<sst xmlns="http://schemas.openxmlformats.org/spreadsheetml/2006/main" count="994" uniqueCount="108">
  <si>
    <t>Data</t>
  </si>
  <si>
    <t>Descrição</t>
  </si>
  <si>
    <t>Categoria</t>
  </si>
  <si>
    <t>Tipo</t>
  </si>
  <si>
    <t>Valor (R$)</t>
  </si>
  <si>
    <t>Contabilizar</t>
  </si>
  <si>
    <t>Conta</t>
  </si>
  <si>
    <t>Observação</t>
  </si>
  <si>
    <t>Uber</t>
  </si>
  <si>
    <t>Transporte</t>
  </si>
  <si>
    <t>Despesa</t>
  </si>
  <si>
    <t>Sim</t>
  </si>
  <si>
    <t>Cartão de crédito</t>
  </si>
  <si>
    <t>Academia</t>
  </si>
  <si>
    <t>Saúde</t>
  </si>
  <si>
    <t>Conta corrente</t>
  </si>
  <si>
    <t>Supermercado</t>
  </si>
  <si>
    <t>Alimentação</t>
  </si>
  <si>
    <t>Salário Empresa Exemplo</t>
  </si>
  <si>
    <t>Salário</t>
  </si>
  <si>
    <t>Receita</t>
  </si>
  <si>
    <t>Delivery iFood</t>
  </si>
  <si>
    <t>Transferência entre contas próprias</t>
  </si>
  <si>
    <t>Transferência</t>
  </si>
  <si>
    <t>Não</t>
  </si>
  <si>
    <t>Transferência entre contas próprias: não é receita nem despesa</t>
  </si>
  <si>
    <t>Aluguel</t>
  </si>
  <si>
    <t>Moradia</t>
  </si>
  <si>
    <t>Netflix</t>
  </si>
  <si>
    <t>Assinaturas</t>
  </si>
  <si>
    <t>Combustível</t>
  </si>
  <si>
    <t>Condomínio</t>
  </si>
  <si>
    <t>Spotify</t>
  </si>
  <si>
    <t>Conta de energia</t>
  </si>
  <si>
    <t>Possível duplicidade (linha idêntica): não contabilizada</t>
  </si>
  <si>
    <t>Restaurante / cinema</t>
  </si>
  <si>
    <t>Lazer</t>
  </si>
  <si>
    <t>Internet</t>
  </si>
  <si>
    <t>Farmácia</t>
  </si>
  <si>
    <t>Freelance design</t>
  </si>
  <si>
    <t>Renda extra</t>
  </si>
  <si>
    <t>Pagamento fatura cartão</t>
  </si>
  <si>
    <t>Cartão</t>
  </si>
  <si>
    <t>Pagamento de fatura</t>
  </si>
  <si>
    <t>Pagamento de fatura: não contabilizado (as compras no cartão já estão como despesas)</t>
  </si>
  <si>
    <t>Compra online</t>
  </si>
  <si>
    <t>Compras</t>
  </si>
  <si>
    <t>Assistente Financeiro IA - Resumo financeiro</t>
  </si>
  <si>
    <t>Perfil: Finanças pessoais</t>
  </si>
  <si>
    <t>Período: 2026-04-02 a 2026-09-28</t>
  </si>
  <si>
    <t>Indicador</t>
  </si>
  <si>
    <t>Valor</t>
  </si>
  <si>
    <t>Como é calculado</t>
  </si>
  <si>
    <t>Total de receitas</t>
  </si>
  <si>
    <t>Soma das receitas contabilizadas (aba Movimentações)</t>
  </si>
  <si>
    <t>Total de despesas</t>
  </si>
  <si>
    <t>Soma das despesas contabilizadas (inclui pagamento de fatura apenas se contabilizado)</t>
  </si>
  <si>
    <t>Saldo do período</t>
  </si>
  <si>
    <t>Receitas - despesas</t>
  </si>
  <si>
    <t>Taxa de poupança / margem do período</t>
  </si>
  <si>
    <t>Saldo / receitas</t>
  </si>
  <si>
    <t>Meses no período</t>
  </si>
  <si>
    <t>Meses de calendário entre o início e o fim do período</t>
  </si>
  <si>
    <t>Média mensal de receitas</t>
  </si>
  <si>
    <t>Média mensal de despesas</t>
  </si>
  <si>
    <t>Categoria de maior despesa</t>
  </si>
  <si>
    <t>44.5% das despesas</t>
  </si>
  <si>
    <t>Transferências entre contas (fora dos totais)</t>
  </si>
  <si>
    <t>Outras movimentações não contabilizadas</t>
  </si>
  <si>
    <t>Duplicidades e pagamentos de fatura (para evitar dupla contagem)</t>
  </si>
  <si>
    <t>% do total</t>
  </si>
  <si>
    <t>Mês</t>
  </si>
  <si>
    <t>Receitas</t>
  </si>
  <si>
    <t>Despesas</t>
  </si>
  <si>
    <t>Saldo</t>
  </si>
  <si>
    <t>Saldo acumulado</t>
  </si>
  <si>
    <t>Título</t>
  </si>
  <si>
    <t>Detalhe</t>
  </si>
  <si>
    <t>Premissas / estimativas</t>
  </si>
  <si>
    <t>Fato</t>
  </si>
  <si>
    <t>Resultado do período</t>
  </si>
  <si>
    <t>Total de receitas R$ 32.037,70 menos total de despesas R$ 29.458,46 = R$ 2.579,24.</t>
  </si>
  <si>
    <t>Somente movimentações contabilizadas; transferências entre contas próprias e duplicidades ficam de fora.</t>
  </si>
  <si>
    <t>Estimativa</t>
  </si>
  <si>
    <t>Reduzir 10% em Moradia</t>
  </si>
  <si>
    <t>Moradia representa 44.5% das despesas (média de R$ 2.186,10/mês). Cortar 10% economizaria cerca de R$ 218,61 por mês, ou R$ 2.623,32 por ano.</t>
  </si>
  <si>
    <t>Média mensal sobre 6 mês(es); reduz 10% sem outras mudanças; sem inflação.</t>
  </si>
  <si>
    <t>Recomendação</t>
  </si>
  <si>
    <t>Revise despesas recorrentes</t>
  </si>
  <si>
    <t>Foram identificados gastos que se repetem todo mês: Aluguel, Supermercado, Condomínio, Combustível. Confirme se todos ainda fazem sentido. Assinaturas/serviços somam ~R$ 77,80/mês.</t>
  </si>
  <si>
    <t>Recorrente = mesma descrição em 3+ meses com valor estável (variação até 20%).</t>
  </si>
  <si>
    <t>Média mensal atual</t>
  </si>
  <si>
    <t>Redução (%)</t>
  </si>
  <si>
    <t>Economia mensal</t>
  </si>
  <si>
    <t>Economia anual</t>
  </si>
  <si>
    <t>Aumento de receita simulado (%)</t>
  </si>
  <si>
    <t>Indicador (mensal)</t>
  </si>
  <si>
    <t>Atual</t>
  </si>
  <si>
    <t>Projetado</t>
  </si>
  <si>
    <t>Ganho mensal estimado</t>
  </si>
  <si>
    <t>Ganho anual estimado</t>
  </si>
  <si>
    <t>Valores simulados são estimativas baseadas na média mensal do período analisado. Não garantem resultados futuros: preços, renda e hábitos podem mudar.</t>
  </si>
  <si>
    <t>Avisos e premissas</t>
  </si>
  <si>
    <t>Gerado em 17/10/2026 20:53 pelo Assistente Financeiro IA (protótipo/MVP).</t>
  </si>
  <si>
    <t>Transferências entre contas próprias não são receita nem despesa e ficam fora dos totais.</t>
  </si>
  <si>
    <t>Linhas com 'Contabilizar = Não' (duplicidades, pagamento de fatura com compras já lançadas) não entram nos totais. Altere para 'Sim'/'Não' e as fórmulas recalculam.</t>
  </si>
  <si>
    <t>Totais e gráficos são fórmulas/gráficos nativos do Excel ligados às abas de dados: edite os dados e os gráficos se atualizam.</t>
  </si>
  <si>
    <t>Recomendações e simulações são estimativas baseadas nos dados do período e não garantem resultados futuros. Não substituem orientação profissional.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</si>
</sst>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R$ #,##0.00"/>
    <numFmt numFmtId="166" formatCode="0.0%"/>
    <numFmt numFmtId="167" formatCode="mmm/yyyy"/>
    <numFmt numFmtId="168" formatCode="0%"/>
  </numFmts>
  <fonts count="5">
    <font>
      <sz val="11"/>
      <color theme="1"/>
      <name val="Calibri"/>
      <family val="2"/>
      <scheme val="minor"/>
    </font>
    <font>
      <b/>
      <sz val="16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EF9C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165" fontId="3" fillId="0" borderId="0" xfId="0" applyNumberFormat="1" applyFont="1"/>
    <xf numFmtId="0" fontId="4" fillId="0" borderId="0" xfId="0" applyFont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top" wrapText="1"/>
    </xf>
    <xf numFmtId="168" fontId="0" fillId="3" borderId="1" xfId="0" applyNumberFormat="1" applyFill="1" applyBorder="1"/>
    <xf numFmtId="0" fontId="3" fillId="0" borderId="0" xfId="0" applyFont="1"/>
  </cellXfs>
  <cellStyles count="1">
    <cellStyle name="Normal" xfId="0" builtinId="0"/>
  </cellStyles>
  <dxfs count="2">
    <dxf>
      <numFmt numFmtId="164" formatCode="dd/mm/yyyy"/>
    </dxf>
    <dxf>
      <numFmt numFmtId="165" formatCode="R$ #,##0.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Distribuição das despesas por categoria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Despesas por categoria</c:v>
          </c:tx>
          <c:dLbls>
            <c:showPercent val="1"/>
            <c:showLeaderLines val="1"/>
          </c:dLbls>
          <c:cat>
            <c:strRef>
              <c:f>Categorias!$A$2:$A$8</c:f>
              <c:strCache>
                <c:ptCount val="7"/>
                <c:pt idx="0">
                  <c:v>Moradia</c:v>
                </c:pt>
                <c:pt idx="1">
                  <c:v>Alimentação</c:v>
                </c:pt>
                <c:pt idx="2">
                  <c:v>Transporte</c:v>
                </c:pt>
                <c:pt idx="3">
                  <c:v>Lazer</c:v>
                </c:pt>
                <c:pt idx="4">
                  <c:v>Compras</c:v>
                </c:pt>
                <c:pt idx="5">
                  <c:v>Saúde</c:v>
                </c:pt>
                <c:pt idx="6">
                  <c:v>Assinaturas</c:v>
                </c:pt>
              </c:strCache>
            </c:strRef>
          </c:cat>
          <c:val>
            <c:numRef>
              <c:f>Categorias!$B$2:$B$8</c:f>
              <c:numCache>
                <c:formatCode>General</c:formatCode>
                <c:ptCount val="7"/>
                <c:pt idx="0">
                  <c:v>13116.59</c:v>
                </c:pt>
                <c:pt idx="1">
                  <c:v>7899.7</c:v>
                </c:pt>
                <c:pt idx="2">
                  <c:v>3200.51</c:v>
                </c:pt>
                <c:pt idx="3">
                  <c:v>1941.58</c:v>
                </c:pt>
                <c:pt idx="4">
                  <c:v>1543.08</c:v>
                </c:pt>
                <c:pt idx="5">
                  <c:v>1290.2</c:v>
                </c:pt>
                <c:pt idx="6">
                  <c:v>466.8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Despesas por categoria (R$)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 (R$)</c:v>
          </c:tx>
          <c:spPr>
            <a:solidFill>
              <a:srgbClr val="0F766E"/>
            </a:solidFill>
          </c:spPr>
          <c:cat>
            <c:strRef>
              <c:f>Categorias!$A$2:$A$8</c:f>
              <c:strCache>
                <c:ptCount val="7"/>
                <c:pt idx="0">
                  <c:v>Moradia</c:v>
                </c:pt>
                <c:pt idx="1">
                  <c:v>Alimentação</c:v>
                </c:pt>
                <c:pt idx="2">
                  <c:v>Transporte</c:v>
                </c:pt>
                <c:pt idx="3">
                  <c:v>Lazer</c:v>
                </c:pt>
                <c:pt idx="4">
                  <c:v>Compras</c:v>
                </c:pt>
                <c:pt idx="5">
                  <c:v>Saúde</c:v>
                </c:pt>
                <c:pt idx="6">
                  <c:v>Assinaturas</c:v>
                </c:pt>
              </c:strCache>
            </c:strRef>
          </c:cat>
          <c:val>
            <c:numRef>
              <c:f>Categorias!$B$2:$B$8</c:f>
              <c:numCache>
                <c:formatCode>General</c:formatCode>
                <c:ptCount val="7"/>
                <c:pt idx="0">
                  <c:v>13116.59</c:v>
                </c:pt>
                <c:pt idx="1">
                  <c:v>7899.7</c:v>
                </c:pt>
                <c:pt idx="2">
                  <c:v>3200.51</c:v>
                </c:pt>
                <c:pt idx="3">
                  <c:v>1941.58</c:v>
                </c:pt>
                <c:pt idx="4">
                  <c:v>1543.08</c:v>
                </c:pt>
                <c:pt idx="5">
                  <c:v>1290.2</c:v>
                </c:pt>
                <c:pt idx="6">
                  <c:v>466.8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Receitas e despesas ao longo do tempo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'Análise temporal'!$B$1</c:f>
              <c:strCache>
                <c:ptCount val="1"/>
                <c:pt idx="0">
                  <c:v>Receitas</c:v>
                </c:pt>
              </c:strCache>
            </c:strRef>
          </c:tx>
          <c:spPr>
            <a:solidFill>
              <a:srgbClr val="0F766E"/>
            </a:solidFill>
          </c:spPr>
          <c:cat>
            <c:numRef>
              <c:f>'Análise temporal'!$A$2:$A$7</c:f>
              <c:numCache>
                <c:formatCode>General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'Análise temporal'!$B$2:$B$7</c:f>
              <c:numCache>
                <c:formatCode>General</c:formatCode>
                <c:ptCount val="6"/>
                <c:pt idx="0">
                  <c:v>5591.83</c:v>
                </c:pt>
                <c:pt idx="1">
                  <c:v>5609.44</c:v>
                </c:pt>
                <c:pt idx="2">
                  <c:v>4800.0</c:v>
                </c:pt>
                <c:pt idx="3">
                  <c:v>5567.08</c:v>
                </c:pt>
                <c:pt idx="4">
                  <c:v>5669.35</c:v>
                </c:pt>
                <c:pt idx="5">
                  <c:v>4800.0</c:v>
                </c:pt>
              </c:numCache>
            </c:numRef>
          </c:val>
        </c:ser>
        <c:ser>
          <c:idx val="1"/>
          <c:order val="1"/>
          <c:tx>
            <c:strRef>
              <c:f>'Análise temporal'!$C$1</c:f>
              <c:strCache>
                <c:ptCount val="1"/>
                <c:pt idx="0">
                  <c:v>Despesas</c:v>
                </c:pt>
              </c:strCache>
            </c:strRef>
          </c:tx>
          <c:spPr>
            <a:solidFill>
              <a:srgbClr val="F97316"/>
            </a:solidFill>
          </c:spPr>
          <c:cat>
            <c:numRef>
              <c:f>'Análise temporal'!$A$2:$A$7</c:f>
              <c:numCache>
                <c:formatCode>General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'Análise temporal'!$C$2:$C$7</c:f>
              <c:numCache>
                <c:formatCode>General</c:formatCode>
                <c:ptCount val="6"/>
                <c:pt idx="0">
                  <c:v>4951.48</c:v>
                </c:pt>
                <c:pt idx="1">
                  <c:v>4832.69</c:v>
                </c:pt>
                <c:pt idx="2">
                  <c:v>4842.09</c:v>
                </c:pt>
                <c:pt idx="3">
                  <c:v>4897.02</c:v>
                </c:pt>
                <c:pt idx="4">
                  <c:v>4892.65</c:v>
                </c:pt>
                <c:pt idx="5">
                  <c:v>5042.53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numFmt formatCode="mmm/yy" sourceLinked="0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Saldo acumulado (fluxo de caixa)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'Análise temporal'!$E$1</c:f>
              <c:strCache>
                <c:ptCount val="1"/>
                <c:pt idx="0">
                  <c:v>Saldo acumulado</c:v>
                </c:pt>
              </c:strCache>
            </c:strRef>
          </c:tx>
          <c:spPr>
            <a:ln w="31750">
              <a:solidFill>
                <a:srgbClr val="0F172A"/>
              </a:solidFill>
            </a:ln>
          </c:spPr>
          <c:marker>
            <c:symbol val="circle"/>
          </c:marker>
          <c:cat>
            <c:numRef>
              <c:f>'Análise temporal'!$A$2:$A$7</c:f>
              <c:numCache>
                <c:formatCode>General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'Análise temporal'!$E$2:$E$7</c:f>
              <c:numCache>
                <c:formatCode>General</c:formatCode>
                <c:ptCount val="6"/>
                <c:pt idx="0">
                  <c:v>640.35</c:v>
                </c:pt>
                <c:pt idx="1">
                  <c:v>1417.1</c:v>
                </c:pt>
                <c:pt idx="2">
                  <c:v>1375.01</c:v>
                </c:pt>
                <c:pt idx="3">
                  <c:v>2045.07</c:v>
                </c:pt>
                <c:pt idx="4">
                  <c:v>2821.77</c:v>
                </c:pt>
                <c:pt idx="5">
                  <c:v>2579.24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mmm/yy" sourceLinked="0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Cenário atual x projetado (estimativa, por mês)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Simulação!$B$7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rgbClr val="94A3B8"/>
            </a:solidFill>
          </c:spPr>
          <c:cat>
            <c:strRef>
              <c:f>Simulação!$A$8:$A$10</c:f>
              <c:strCache>
                <c:ptCount val="3"/>
                <c:pt idx="0">
                  <c:v>Receita</c:v>
                </c:pt>
                <c:pt idx="1">
                  <c:v>Despesa</c:v>
                </c:pt>
                <c:pt idx="2">
                  <c:v>Saldo</c:v>
                </c:pt>
              </c:strCache>
            </c:strRef>
          </c:cat>
          <c:val>
            <c:numRef>
              <c:f>Simulação!$B$8:$B$10</c:f>
              <c:numCache>
                <c:formatCode>General</c:formatCode>
                <c:ptCount val="3"/>
                <c:pt idx="0">
                  <c:v>5339.62</c:v>
                </c:pt>
                <c:pt idx="1">
                  <c:v>4909.74</c:v>
                </c:pt>
                <c:pt idx="2">
                  <c:v>429.88</c:v>
                </c:pt>
              </c:numCache>
            </c:numRef>
          </c:val>
        </c:ser>
        <c:ser>
          <c:idx val="1"/>
          <c:order val="1"/>
          <c:tx>
            <c:strRef>
              <c:f>Simulação!$C$7</c:f>
              <c:strCache>
                <c:ptCount val="1"/>
                <c:pt idx="0">
                  <c:v>Projetado</c:v>
                </c:pt>
              </c:strCache>
            </c:strRef>
          </c:tx>
          <c:spPr>
            <a:solidFill>
              <a:srgbClr val="0F766E"/>
            </a:solidFill>
          </c:spPr>
          <c:cat>
            <c:strRef>
              <c:f>Simulação!$A$8:$A$10</c:f>
              <c:strCache>
                <c:ptCount val="3"/>
                <c:pt idx="0">
                  <c:v>Receita</c:v>
                </c:pt>
                <c:pt idx="1">
                  <c:v>Despesa</c:v>
                </c:pt>
                <c:pt idx="2">
                  <c:v>Saldo</c:v>
                </c:pt>
              </c:strCache>
            </c:strRef>
          </c:cat>
          <c:val>
            <c:numRef>
              <c:f>Simulação!$C$8:$C$10</c:f>
              <c:numCache>
                <c:formatCode>General</c:formatCode>
                <c:ptCount val="3"/>
                <c:pt idx="0">
                  <c:v>5606.6</c:v>
                </c:pt>
                <c:pt idx="1">
                  <c:v>4658.91</c:v>
                </c:pt>
                <c:pt idx="2">
                  <c:v>947.7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12</xdr:col>
      <xdr:colOff>457200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419100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15</xdr:col>
      <xdr:colOff>419100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457200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ovimentacoes" displayName="Movimentacoes" ref="A1:H180" totalsRowShown="0">
  <autoFilter ref="A1:H180"/>
  <tableColumns count="8">
    <tableColumn id="1" name="Data" dataDxfId="0"/>
    <tableColumn id="2" name="Descrição"/>
    <tableColumn id="3" name="Categoria"/>
    <tableColumn id="4" name="Tipo"/>
    <tableColumn id="5" name="Valor (R$)" dataDxfId="1"/>
    <tableColumn id="6" name="Contabilizar"/>
    <tableColumn id="7" name="Conta"/>
    <tableColumn id="8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8.7109375" customWidth="1"/>
    <col min="3" max="4" width="20.7109375" customWidth="1"/>
    <col min="5" max="5" width="15.7109375" customWidth="1"/>
    <col min="6" max="6" width="13.7109375" customWidth="1"/>
    <col min="7" max="7" width="18.7109375" customWidth="1"/>
    <col min="8" max="8" width="60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46114</v>
      </c>
      <c r="B2" t="s">
        <v>8</v>
      </c>
      <c r="C2" t="s">
        <v>9</v>
      </c>
      <c r="D2" t="s">
        <v>10</v>
      </c>
      <c r="E2" s="2">
        <v>14.56</v>
      </c>
      <c r="F2" t="s">
        <v>11</v>
      </c>
      <c r="G2" t="s">
        <v>12</v>
      </c>
    </row>
    <row r="3" spans="1:8">
      <c r="A3" s="1">
        <v>46115</v>
      </c>
      <c r="B3" t="s">
        <v>13</v>
      </c>
      <c r="C3" t="s">
        <v>14</v>
      </c>
      <c r="D3" t="s">
        <v>10</v>
      </c>
      <c r="E3" s="2">
        <v>119.9</v>
      </c>
      <c r="F3" t="s">
        <v>11</v>
      </c>
      <c r="G3" t="s">
        <v>15</v>
      </c>
    </row>
    <row r="4" spans="1:8">
      <c r="A4" s="1">
        <v>46116</v>
      </c>
      <c r="B4" t="s">
        <v>16</v>
      </c>
      <c r="C4" t="s">
        <v>17</v>
      </c>
      <c r="D4" t="s">
        <v>10</v>
      </c>
      <c r="E4" s="2">
        <v>253</v>
      </c>
      <c r="F4" t="s">
        <v>11</v>
      </c>
      <c r="G4" t="s">
        <v>12</v>
      </c>
    </row>
    <row r="5" spans="1:8">
      <c r="A5" s="1">
        <v>46117</v>
      </c>
      <c r="B5" t="s">
        <v>18</v>
      </c>
      <c r="C5" t="s">
        <v>19</v>
      </c>
      <c r="D5" t="s">
        <v>20</v>
      </c>
      <c r="E5" s="2">
        <v>4800</v>
      </c>
      <c r="F5" t="s">
        <v>11</v>
      </c>
      <c r="G5" t="s">
        <v>15</v>
      </c>
    </row>
    <row r="6" spans="1:8">
      <c r="A6" s="1">
        <v>46117</v>
      </c>
      <c r="B6" t="s">
        <v>21</v>
      </c>
      <c r="C6" t="s">
        <v>17</v>
      </c>
      <c r="D6" t="s">
        <v>10</v>
      </c>
      <c r="E6" s="2">
        <v>48.49</v>
      </c>
      <c r="F6" t="s">
        <v>11</v>
      </c>
      <c r="G6" t="s">
        <v>12</v>
      </c>
    </row>
    <row r="7" spans="1:8">
      <c r="A7" s="1">
        <v>46118</v>
      </c>
      <c r="B7" t="s">
        <v>22</v>
      </c>
      <c r="C7" t="s">
        <v>23</v>
      </c>
      <c r="D7" t="s">
        <v>23</v>
      </c>
      <c r="E7" s="2">
        <v>500</v>
      </c>
      <c r="F7" t="s">
        <v>24</v>
      </c>
      <c r="G7" t="s">
        <v>15</v>
      </c>
      <c r="H7" t="s">
        <v>25</v>
      </c>
    </row>
    <row r="8" spans="1:8">
      <c r="A8" s="1">
        <v>46119</v>
      </c>
      <c r="B8" t="s">
        <v>26</v>
      </c>
      <c r="C8" t="s">
        <v>27</v>
      </c>
      <c r="D8" t="s">
        <v>10</v>
      </c>
      <c r="E8" s="2">
        <v>1500</v>
      </c>
      <c r="F8" t="s">
        <v>11</v>
      </c>
      <c r="G8" t="s">
        <v>15</v>
      </c>
    </row>
    <row r="9" spans="1:8">
      <c r="A9" s="1">
        <v>46120</v>
      </c>
      <c r="B9" t="s">
        <v>28</v>
      </c>
      <c r="C9" t="s">
        <v>29</v>
      </c>
      <c r="D9" t="s">
        <v>10</v>
      </c>
      <c r="E9" s="2">
        <v>55.9</v>
      </c>
      <c r="F9" t="s">
        <v>11</v>
      </c>
      <c r="G9" t="s">
        <v>12</v>
      </c>
    </row>
    <row r="10" spans="1:8">
      <c r="A10" s="1">
        <v>46120</v>
      </c>
      <c r="B10" t="s">
        <v>8</v>
      </c>
      <c r="C10" t="s">
        <v>9</v>
      </c>
      <c r="D10" t="s">
        <v>10</v>
      </c>
      <c r="E10" s="2">
        <v>18.18</v>
      </c>
      <c r="F10" t="s">
        <v>11</v>
      </c>
      <c r="G10" t="s">
        <v>12</v>
      </c>
    </row>
    <row r="11" spans="1:8">
      <c r="A11" s="1">
        <v>46121</v>
      </c>
      <c r="B11" t="s">
        <v>30</v>
      </c>
      <c r="C11" t="s">
        <v>9</v>
      </c>
      <c r="D11" t="s">
        <v>10</v>
      </c>
      <c r="E11" s="2">
        <v>190.93</v>
      </c>
      <c r="F11" t="s">
        <v>11</v>
      </c>
      <c r="G11" t="s">
        <v>15</v>
      </c>
    </row>
    <row r="12" spans="1:8">
      <c r="A12" s="1">
        <v>46122</v>
      </c>
      <c r="B12" t="s">
        <v>31</v>
      </c>
      <c r="C12" t="s">
        <v>27</v>
      </c>
      <c r="D12" t="s">
        <v>10</v>
      </c>
      <c r="E12" s="2">
        <v>420</v>
      </c>
      <c r="F12" t="s">
        <v>11</v>
      </c>
      <c r="G12" t="s">
        <v>15</v>
      </c>
    </row>
    <row r="13" spans="1:8">
      <c r="A13" s="1">
        <v>46123</v>
      </c>
      <c r="B13" t="s">
        <v>32</v>
      </c>
      <c r="C13" t="s">
        <v>29</v>
      </c>
      <c r="D13" t="s">
        <v>10</v>
      </c>
      <c r="E13" s="2">
        <v>21.9</v>
      </c>
      <c r="F13" t="s">
        <v>11</v>
      </c>
      <c r="G13" t="s">
        <v>12</v>
      </c>
    </row>
    <row r="14" spans="1:8">
      <c r="A14" s="1">
        <v>46123</v>
      </c>
      <c r="B14" t="s">
        <v>16</v>
      </c>
      <c r="C14" t="s">
        <v>17</v>
      </c>
      <c r="D14" t="s">
        <v>10</v>
      </c>
      <c r="E14" s="2">
        <v>308.38</v>
      </c>
      <c r="F14" t="s">
        <v>11</v>
      </c>
      <c r="G14" t="s">
        <v>12</v>
      </c>
    </row>
    <row r="15" spans="1:8">
      <c r="A15" s="1">
        <v>46124</v>
      </c>
      <c r="B15" t="s">
        <v>33</v>
      </c>
      <c r="C15" t="s">
        <v>27</v>
      </c>
      <c r="D15" t="s">
        <v>10</v>
      </c>
      <c r="E15" s="2">
        <v>141.25</v>
      </c>
      <c r="F15" t="s">
        <v>11</v>
      </c>
      <c r="G15" t="s">
        <v>15</v>
      </c>
    </row>
    <row r="16" spans="1:8">
      <c r="A16" s="1">
        <v>46124</v>
      </c>
      <c r="B16" t="s">
        <v>21</v>
      </c>
      <c r="C16" t="s">
        <v>17</v>
      </c>
      <c r="D16" t="s">
        <v>10</v>
      </c>
      <c r="E16" s="2">
        <v>69.8</v>
      </c>
      <c r="F16" t="s">
        <v>11</v>
      </c>
      <c r="G16" t="s">
        <v>12</v>
      </c>
    </row>
    <row r="17" spans="1:8">
      <c r="A17" s="1">
        <v>46124</v>
      </c>
      <c r="B17" t="s">
        <v>33</v>
      </c>
      <c r="C17" t="s">
        <v>27</v>
      </c>
      <c r="D17" t="s">
        <v>10</v>
      </c>
      <c r="E17" s="2">
        <v>141.25</v>
      </c>
      <c r="F17" t="s">
        <v>24</v>
      </c>
      <c r="G17" t="s">
        <v>15</v>
      </c>
      <c r="H17" t="s">
        <v>34</v>
      </c>
    </row>
    <row r="18" spans="1:8">
      <c r="A18" s="1">
        <v>46125</v>
      </c>
      <c r="B18" t="s">
        <v>35</v>
      </c>
      <c r="C18" t="s">
        <v>36</v>
      </c>
      <c r="D18" t="s">
        <v>10</v>
      </c>
      <c r="E18" s="2">
        <v>193.32</v>
      </c>
      <c r="F18" t="s">
        <v>11</v>
      </c>
      <c r="G18" t="s">
        <v>12</v>
      </c>
    </row>
    <row r="19" spans="1:8">
      <c r="A19" s="1">
        <v>46126</v>
      </c>
      <c r="B19" t="s">
        <v>8</v>
      </c>
      <c r="C19" t="s">
        <v>9</v>
      </c>
      <c r="D19" t="s">
        <v>10</v>
      </c>
      <c r="E19" s="2">
        <v>27.65</v>
      </c>
      <c r="F19" t="s">
        <v>11</v>
      </c>
      <c r="G19" t="s">
        <v>12</v>
      </c>
    </row>
    <row r="20" spans="1:8">
      <c r="A20" s="1">
        <v>46127</v>
      </c>
      <c r="B20" t="s">
        <v>37</v>
      </c>
      <c r="C20" t="s">
        <v>27</v>
      </c>
      <c r="D20" t="s">
        <v>10</v>
      </c>
      <c r="E20" s="2">
        <v>109.9</v>
      </c>
      <c r="F20" t="s">
        <v>11</v>
      </c>
      <c r="G20" t="s">
        <v>15</v>
      </c>
    </row>
    <row r="21" spans="1:8">
      <c r="A21" s="1">
        <v>46128</v>
      </c>
      <c r="B21" t="s">
        <v>38</v>
      </c>
      <c r="C21" t="s">
        <v>14</v>
      </c>
      <c r="D21" t="s">
        <v>10</v>
      </c>
      <c r="E21" s="2">
        <v>107.14</v>
      </c>
      <c r="F21" t="s">
        <v>11</v>
      </c>
      <c r="G21" t="s">
        <v>15</v>
      </c>
    </row>
    <row r="22" spans="1:8">
      <c r="A22" s="1">
        <v>46130</v>
      </c>
      <c r="B22" t="s">
        <v>39</v>
      </c>
      <c r="C22" t="s">
        <v>40</v>
      </c>
      <c r="D22" t="s">
        <v>20</v>
      </c>
      <c r="E22" s="2">
        <v>791.83</v>
      </c>
      <c r="F22" t="s">
        <v>11</v>
      </c>
      <c r="G22" t="s">
        <v>15</v>
      </c>
    </row>
    <row r="23" spans="1:8">
      <c r="A23" s="1">
        <v>46130</v>
      </c>
      <c r="B23" t="s">
        <v>16</v>
      </c>
      <c r="C23" t="s">
        <v>17</v>
      </c>
      <c r="D23" t="s">
        <v>10</v>
      </c>
      <c r="E23" s="2">
        <v>327.06</v>
      </c>
      <c r="F23" t="s">
        <v>11</v>
      </c>
      <c r="G23" t="s">
        <v>12</v>
      </c>
    </row>
    <row r="24" spans="1:8">
      <c r="A24" s="1">
        <v>46131</v>
      </c>
      <c r="B24" t="s">
        <v>21</v>
      </c>
      <c r="C24" t="s">
        <v>17</v>
      </c>
      <c r="D24" t="s">
        <v>10</v>
      </c>
      <c r="E24" s="2">
        <v>42.09</v>
      </c>
      <c r="F24" t="s">
        <v>11</v>
      </c>
      <c r="G24" t="s">
        <v>12</v>
      </c>
    </row>
    <row r="25" spans="1:8">
      <c r="A25" s="1">
        <v>46132</v>
      </c>
      <c r="B25" t="s">
        <v>8</v>
      </c>
      <c r="C25" t="s">
        <v>9</v>
      </c>
      <c r="D25" t="s">
        <v>10</v>
      </c>
      <c r="E25" s="2">
        <v>25.44</v>
      </c>
      <c r="F25" t="s">
        <v>11</v>
      </c>
      <c r="G25" t="s">
        <v>12</v>
      </c>
    </row>
    <row r="26" spans="1:8">
      <c r="A26" s="1">
        <v>46132</v>
      </c>
      <c r="B26" t="s">
        <v>41</v>
      </c>
      <c r="C26" t="s">
        <v>42</v>
      </c>
      <c r="D26" t="s">
        <v>43</v>
      </c>
      <c r="E26" s="2">
        <v>2157.08</v>
      </c>
      <c r="F26" t="s">
        <v>24</v>
      </c>
      <c r="G26" t="s">
        <v>15</v>
      </c>
      <c r="H26" t="s">
        <v>44</v>
      </c>
    </row>
    <row r="27" spans="1:8">
      <c r="A27" s="1">
        <v>46133</v>
      </c>
      <c r="B27" t="s">
        <v>45</v>
      </c>
      <c r="C27" t="s">
        <v>46</v>
      </c>
      <c r="D27" t="s">
        <v>10</v>
      </c>
      <c r="E27" s="2">
        <v>341.75</v>
      </c>
      <c r="F27" t="s">
        <v>11</v>
      </c>
      <c r="G27" t="s">
        <v>12</v>
      </c>
    </row>
    <row r="28" spans="1:8">
      <c r="A28" s="1">
        <v>46135</v>
      </c>
      <c r="B28" t="s">
        <v>30</v>
      </c>
      <c r="C28" t="s">
        <v>9</v>
      </c>
      <c r="D28" t="s">
        <v>10</v>
      </c>
      <c r="E28" s="2">
        <v>205.27</v>
      </c>
      <c r="F28" t="s">
        <v>11</v>
      </c>
      <c r="G28" t="s">
        <v>15</v>
      </c>
    </row>
    <row r="29" spans="1:8">
      <c r="A29" s="1">
        <v>46137</v>
      </c>
      <c r="B29" t="s">
        <v>16</v>
      </c>
      <c r="C29" t="s">
        <v>17</v>
      </c>
      <c r="D29" t="s">
        <v>10</v>
      </c>
      <c r="E29" s="2">
        <v>270.63</v>
      </c>
      <c r="F29" t="s">
        <v>11</v>
      </c>
      <c r="G29" t="s">
        <v>12</v>
      </c>
    </row>
    <row r="30" spans="1:8">
      <c r="A30" s="1">
        <v>46138</v>
      </c>
      <c r="B30" t="s">
        <v>21</v>
      </c>
      <c r="C30" t="s">
        <v>17</v>
      </c>
      <c r="D30" t="s">
        <v>10</v>
      </c>
      <c r="E30" s="2">
        <v>39.4</v>
      </c>
      <c r="F30" t="s">
        <v>11</v>
      </c>
      <c r="G30" t="s">
        <v>12</v>
      </c>
    </row>
    <row r="31" spans="1:8">
      <c r="A31" s="1">
        <v>46139</v>
      </c>
      <c r="B31" t="s">
        <v>8</v>
      </c>
      <c r="C31" t="s">
        <v>9</v>
      </c>
      <c r="D31" t="s">
        <v>10</v>
      </c>
      <c r="E31" s="2">
        <v>18.63</v>
      </c>
      <c r="F31" t="s">
        <v>11</v>
      </c>
      <c r="G31" t="s">
        <v>12</v>
      </c>
    </row>
    <row r="32" spans="1:8">
      <c r="A32" s="1">
        <v>46140</v>
      </c>
      <c r="B32" t="s">
        <v>35</v>
      </c>
      <c r="C32" t="s">
        <v>36</v>
      </c>
      <c r="D32" t="s">
        <v>10</v>
      </c>
      <c r="E32" s="2">
        <v>80.91</v>
      </c>
      <c r="F32" t="s">
        <v>11</v>
      </c>
      <c r="G32" t="s">
        <v>12</v>
      </c>
    </row>
    <row r="33" spans="1:8">
      <c r="A33" s="1">
        <v>46144</v>
      </c>
      <c r="B33" t="s">
        <v>8</v>
      </c>
      <c r="C33" t="s">
        <v>9</v>
      </c>
      <c r="D33" t="s">
        <v>10</v>
      </c>
      <c r="E33" s="2">
        <v>34.44</v>
      </c>
      <c r="F33" t="s">
        <v>11</v>
      </c>
      <c r="G33" t="s">
        <v>12</v>
      </c>
    </row>
    <row r="34" spans="1:8">
      <c r="A34" s="1">
        <v>46145</v>
      </c>
      <c r="B34" t="s">
        <v>13</v>
      </c>
      <c r="C34" t="s">
        <v>14</v>
      </c>
      <c r="D34" t="s">
        <v>10</v>
      </c>
      <c r="E34" s="2">
        <v>119.9</v>
      </c>
      <c r="F34" t="s">
        <v>11</v>
      </c>
      <c r="G34" t="s">
        <v>15</v>
      </c>
    </row>
    <row r="35" spans="1:8">
      <c r="A35" s="1">
        <v>46146</v>
      </c>
      <c r="B35" t="s">
        <v>16</v>
      </c>
      <c r="C35" t="s">
        <v>17</v>
      </c>
      <c r="D35" t="s">
        <v>10</v>
      </c>
      <c r="E35" s="2">
        <v>238.66</v>
      </c>
      <c r="F35" t="s">
        <v>11</v>
      </c>
      <c r="G35" t="s">
        <v>12</v>
      </c>
    </row>
    <row r="36" spans="1:8">
      <c r="A36" s="1">
        <v>46147</v>
      </c>
      <c r="B36" t="s">
        <v>18</v>
      </c>
      <c r="C36" t="s">
        <v>19</v>
      </c>
      <c r="D36" t="s">
        <v>20</v>
      </c>
      <c r="E36" s="2">
        <v>4800</v>
      </c>
      <c r="F36" t="s">
        <v>11</v>
      </c>
      <c r="G36" t="s">
        <v>15</v>
      </c>
    </row>
    <row r="37" spans="1:8">
      <c r="A37" s="1">
        <v>46147</v>
      </c>
      <c r="B37" t="s">
        <v>21</v>
      </c>
      <c r="C37" t="s">
        <v>17</v>
      </c>
      <c r="D37" t="s">
        <v>10</v>
      </c>
      <c r="E37" s="2">
        <v>82.98999999999999</v>
      </c>
      <c r="F37" t="s">
        <v>11</v>
      </c>
      <c r="G37" t="s">
        <v>12</v>
      </c>
    </row>
    <row r="38" spans="1:8">
      <c r="A38" s="1">
        <v>46148</v>
      </c>
      <c r="B38" t="s">
        <v>22</v>
      </c>
      <c r="C38" t="s">
        <v>23</v>
      </c>
      <c r="D38" t="s">
        <v>23</v>
      </c>
      <c r="E38" s="2">
        <v>500</v>
      </c>
      <c r="F38" t="s">
        <v>24</v>
      </c>
      <c r="G38" t="s">
        <v>15</v>
      </c>
      <c r="H38" t="s">
        <v>25</v>
      </c>
    </row>
    <row r="39" spans="1:8">
      <c r="A39" s="1">
        <v>46149</v>
      </c>
      <c r="B39" t="s">
        <v>26</v>
      </c>
      <c r="C39" t="s">
        <v>27</v>
      </c>
      <c r="D39" t="s">
        <v>10</v>
      </c>
      <c r="E39" s="2">
        <v>1500</v>
      </c>
      <c r="F39" t="s">
        <v>11</v>
      </c>
      <c r="G39" t="s">
        <v>15</v>
      </c>
    </row>
    <row r="40" spans="1:8">
      <c r="A40" s="1">
        <v>46150</v>
      </c>
      <c r="B40" t="s">
        <v>28</v>
      </c>
      <c r="C40" t="s">
        <v>29</v>
      </c>
      <c r="D40" t="s">
        <v>10</v>
      </c>
      <c r="E40" s="2">
        <v>55.9</v>
      </c>
      <c r="F40" t="s">
        <v>11</v>
      </c>
      <c r="G40" t="s">
        <v>12</v>
      </c>
    </row>
    <row r="41" spans="1:8">
      <c r="A41" s="1">
        <v>46150</v>
      </c>
      <c r="B41" t="s">
        <v>8</v>
      </c>
      <c r="C41" t="s">
        <v>9</v>
      </c>
      <c r="D41" t="s">
        <v>10</v>
      </c>
      <c r="E41" s="2">
        <v>21.95</v>
      </c>
      <c r="F41" t="s">
        <v>11</v>
      </c>
      <c r="G41" t="s">
        <v>12</v>
      </c>
    </row>
    <row r="42" spans="1:8">
      <c r="A42" s="1">
        <v>46151</v>
      </c>
      <c r="B42" t="s">
        <v>30</v>
      </c>
      <c r="C42" t="s">
        <v>9</v>
      </c>
      <c r="D42" t="s">
        <v>10</v>
      </c>
      <c r="E42" s="2">
        <v>216.49</v>
      </c>
      <c r="F42" t="s">
        <v>11</v>
      </c>
      <c r="G42" t="s">
        <v>15</v>
      </c>
    </row>
    <row r="43" spans="1:8">
      <c r="A43" s="1">
        <v>46152</v>
      </c>
      <c r="B43" t="s">
        <v>31</v>
      </c>
      <c r="C43" t="s">
        <v>27</v>
      </c>
      <c r="D43" t="s">
        <v>10</v>
      </c>
      <c r="E43" s="2">
        <v>420</v>
      </c>
      <c r="F43" t="s">
        <v>11</v>
      </c>
      <c r="G43" t="s">
        <v>15</v>
      </c>
    </row>
    <row r="44" spans="1:8">
      <c r="A44" s="1">
        <v>46153</v>
      </c>
      <c r="B44" t="s">
        <v>32</v>
      </c>
      <c r="C44" t="s">
        <v>29</v>
      </c>
      <c r="D44" t="s">
        <v>10</v>
      </c>
      <c r="E44" s="2">
        <v>21.9</v>
      </c>
      <c r="F44" t="s">
        <v>11</v>
      </c>
      <c r="G44" t="s">
        <v>12</v>
      </c>
    </row>
    <row r="45" spans="1:8">
      <c r="A45" s="1">
        <v>46153</v>
      </c>
      <c r="B45" t="s">
        <v>16</v>
      </c>
      <c r="C45" t="s">
        <v>17</v>
      </c>
      <c r="D45" t="s">
        <v>10</v>
      </c>
      <c r="E45" s="2">
        <v>260.39</v>
      </c>
      <c r="F45" t="s">
        <v>11</v>
      </c>
      <c r="G45" t="s">
        <v>12</v>
      </c>
    </row>
    <row r="46" spans="1:8">
      <c r="A46" s="1">
        <v>46154</v>
      </c>
      <c r="B46" t="s">
        <v>33</v>
      </c>
      <c r="C46" t="s">
        <v>27</v>
      </c>
      <c r="D46" t="s">
        <v>10</v>
      </c>
      <c r="E46" s="2">
        <v>157.01</v>
      </c>
      <c r="F46" t="s">
        <v>11</v>
      </c>
      <c r="G46" t="s">
        <v>15</v>
      </c>
    </row>
    <row r="47" spans="1:8">
      <c r="A47" s="1">
        <v>46154</v>
      </c>
      <c r="B47" t="s">
        <v>21</v>
      </c>
      <c r="C47" t="s">
        <v>17</v>
      </c>
      <c r="D47" t="s">
        <v>10</v>
      </c>
      <c r="E47" s="2">
        <v>42.36</v>
      </c>
      <c r="F47" t="s">
        <v>11</v>
      </c>
      <c r="G47" t="s">
        <v>12</v>
      </c>
    </row>
    <row r="48" spans="1:8">
      <c r="A48" s="1">
        <v>46155</v>
      </c>
      <c r="B48" t="s">
        <v>35</v>
      </c>
      <c r="C48" t="s">
        <v>36</v>
      </c>
      <c r="D48" t="s">
        <v>10</v>
      </c>
      <c r="E48" s="2">
        <v>160.83</v>
      </c>
      <c r="F48" t="s">
        <v>11</v>
      </c>
      <c r="G48" t="s">
        <v>12</v>
      </c>
    </row>
    <row r="49" spans="1:8">
      <c r="A49" s="1">
        <v>46156</v>
      </c>
      <c r="B49" t="s">
        <v>8</v>
      </c>
      <c r="C49" t="s">
        <v>9</v>
      </c>
      <c r="D49" t="s">
        <v>10</v>
      </c>
      <c r="E49" s="2">
        <v>25.59</v>
      </c>
      <c r="F49" t="s">
        <v>11</v>
      </c>
      <c r="G49" t="s">
        <v>12</v>
      </c>
    </row>
    <row r="50" spans="1:8">
      <c r="A50" s="1">
        <v>46157</v>
      </c>
      <c r="B50" t="s">
        <v>37</v>
      </c>
      <c r="C50" t="s">
        <v>27</v>
      </c>
      <c r="D50" t="s">
        <v>10</v>
      </c>
      <c r="E50" s="2">
        <v>109.9</v>
      </c>
      <c r="F50" t="s">
        <v>11</v>
      </c>
      <c r="G50" t="s">
        <v>15</v>
      </c>
    </row>
    <row r="51" spans="1:8">
      <c r="A51" s="1">
        <v>46158</v>
      </c>
      <c r="B51" t="s">
        <v>38</v>
      </c>
      <c r="C51" t="s">
        <v>14</v>
      </c>
      <c r="D51" t="s">
        <v>10</v>
      </c>
      <c r="E51" s="2">
        <v>128.94</v>
      </c>
      <c r="F51" t="s">
        <v>11</v>
      </c>
      <c r="G51" t="s">
        <v>15</v>
      </c>
    </row>
    <row r="52" spans="1:8">
      <c r="A52" s="1">
        <v>46160</v>
      </c>
      <c r="B52" t="s">
        <v>39</v>
      </c>
      <c r="C52" t="s">
        <v>40</v>
      </c>
      <c r="D52" t="s">
        <v>20</v>
      </c>
      <c r="E52" s="2">
        <v>809.4400000000001</v>
      </c>
      <c r="F52" t="s">
        <v>11</v>
      </c>
      <c r="G52" t="s">
        <v>15</v>
      </c>
    </row>
    <row r="53" spans="1:8">
      <c r="A53" s="1">
        <v>46160</v>
      </c>
      <c r="B53" t="s">
        <v>16</v>
      </c>
      <c r="C53" t="s">
        <v>17</v>
      </c>
      <c r="D53" t="s">
        <v>10</v>
      </c>
      <c r="E53" s="2">
        <v>231.61</v>
      </c>
      <c r="F53" t="s">
        <v>11</v>
      </c>
      <c r="G53" t="s">
        <v>12</v>
      </c>
    </row>
    <row r="54" spans="1:8">
      <c r="A54" s="1">
        <v>46161</v>
      </c>
      <c r="B54" t="s">
        <v>21</v>
      </c>
      <c r="C54" t="s">
        <v>17</v>
      </c>
      <c r="D54" t="s">
        <v>10</v>
      </c>
      <c r="E54" s="2">
        <v>77.83</v>
      </c>
      <c r="F54" t="s">
        <v>11</v>
      </c>
      <c r="G54" t="s">
        <v>12</v>
      </c>
    </row>
    <row r="55" spans="1:8">
      <c r="A55" s="1">
        <v>46162</v>
      </c>
      <c r="B55" t="s">
        <v>8</v>
      </c>
      <c r="C55" t="s">
        <v>9</v>
      </c>
      <c r="D55" t="s">
        <v>10</v>
      </c>
      <c r="E55" s="2">
        <v>31.42</v>
      </c>
      <c r="F55" t="s">
        <v>11</v>
      </c>
      <c r="G55" t="s">
        <v>12</v>
      </c>
    </row>
    <row r="56" spans="1:8">
      <c r="A56" s="1">
        <v>46162</v>
      </c>
      <c r="B56" t="s">
        <v>41</v>
      </c>
      <c r="C56" t="s">
        <v>42</v>
      </c>
      <c r="D56" t="s">
        <v>43</v>
      </c>
      <c r="E56" s="2">
        <v>1973.62</v>
      </c>
      <c r="F56" t="s">
        <v>24</v>
      </c>
      <c r="G56" t="s">
        <v>15</v>
      </c>
      <c r="H56" t="s">
        <v>44</v>
      </c>
    </row>
    <row r="57" spans="1:8">
      <c r="A57" s="1">
        <v>46163</v>
      </c>
      <c r="B57" t="s">
        <v>45</v>
      </c>
      <c r="C57" t="s">
        <v>46</v>
      </c>
      <c r="D57" t="s">
        <v>10</v>
      </c>
      <c r="E57" s="2">
        <v>113.75</v>
      </c>
      <c r="F57" t="s">
        <v>11</v>
      </c>
      <c r="G57" t="s">
        <v>12</v>
      </c>
    </row>
    <row r="58" spans="1:8">
      <c r="A58" s="1">
        <v>46165</v>
      </c>
      <c r="B58" t="s">
        <v>30</v>
      </c>
      <c r="C58" t="s">
        <v>9</v>
      </c>
      <c r="D58" t="s">
        <v>10</v>
      </c>
      <c r="E58" s="2">
        <v>206.81</v>
      </c>
      <c r="F58" t="s">
        <v>11</v>
      </c>
      <c r="G58" t="s">
        <v>15</v>
      </c>
    </row>
    <row r="59" spans="1:8">
      <c r="A59" s="1">
        <v>46167</v>
      </c>
      <c r="B59" t="s">
        <v>16</v>
      </c>
      <c r="C59" t="s">
        <v>17</v>
      </c>
      <c r="D59" t="s">
        <v>10</v>
      </c>
      <c r="E59" s="2">
        <v>292.45</v>
      </c>
      <c r="F59" t="s">
        <v>11</v>
      </c>
      <c r="G59" t="s">
        <v>12</v>
      </c>
    </row>
    <row r="60" spans="1:8">
      <c r="A60" s="1">
        <v>46168</v>
      </c>
      <c r="B60" t="s">
        <v>21</v>
      </c>
      <c r="C60" t="s">
        <v>17</v>
      </c>
      <c r="D60" t="s">
        <v>10</v>
      </c>
      <c r="E60" s="2">
        <v>75.94</v>
      </c>
      <c r="F60" t="s">
        <v>11</v>
      </c>
      <c r="G60" t="s">
        <v>12</v>
      </c>
    </row>
    <row r="61" spans="1:8">
      <c r="A61" s="1">
        <v>46169</v>
      </c>
      <c r="B61" t="s">
        <v>8</v>
      </c>
      <c r="C61" t="s">
        <v>9</v>
      </c>
      <c r="D61" t="s">
        <v>10</v>
      </c>
      <c r="E61" s="2">
        <v>26.99</v>
      </c>
      <c r="F61" t="s">
        <v>11</v>
      </c>
      <c r="G61" t="s">
        <v>12</v>
      </c>
    </row>
    <row r="62" spans="1:8">
      <c r="A62" s="1">
        <v>46170</v>
      </c>
      <c r="B62" t="s">
        <v>35</v>
      </c>
      <c r="C62" t="s">
        <v>36</v>
      </c>
      <c r="D62" t="s">
        <v>10</v>
      </c>
      <c r="E62" s="2">
        <v>178.64</v>
      </c>
      <c r="F62" t="s">
        <v>11</v>
      </c>
      <c r="G62" t="s">
        <v>12</v>
      </c>
    </row>
    <row r="63" spans="1:8">
      <c r="A63" s="1">
        <v>46175</v>
      </c>
      <c r="B63" t="s">
        <v>8</v>
      </c>
      <c r="C63" t="s">
        <v>9</v>
      </c>
      <c r="D63" t="s">
        <v>10</v>
      </c>
      <c r="E63" s="2">
        <v>33.67</v>
      </c>
      <c r="F63" t="s">
        <v>11</v>
      </c>
      <c r="G63" t="s">
        <v>12</v>
      </c>
    </row>
    <row r="64" spans="1:8">
      <c r="A64" s="1">
        <v>46176</v>
      </c>
      <c r="B64" t="s">
        <v>13</v>
      </c>
      <c r="C64" t="s">
        <v>14</v>
      </c>
      <c r="D64" t="s">
        <v>10</v>
      </c>
      <c r="E64" s="2">
        <v>119.9</v>
      </c>
      <c r="F64" t="s">
        <v>11</v>
      </c>
      <c r="G64" t="s">
        <v>15</v>
      </c>
    </row>
    <row r="65" spans="1:8">
      <c r="A65" s="1">
        <v>46177</v>
      </c>
      <c r="B65" t="s">
        <v>16</v>
      </c>
      <c r="C65" t="s">
        <v>17</v>
      </c>
      <c r="D65" t="s">
        <v>10</v>
      </c>
      <c r="E65" s="2">
        <v>254.73</v>
      </c>
      <c r="F65" t="s">
        <v>11</v>
      </c>
      <c r="G65" t="s">
        <v>12</v>
      </c>
    </row>
    <row r="66" spans="1:8">
      <c r="A66" s="1">
        <v>46178</v>
      </c>
      <c r="B66" t="s">
        <v>18</v>
      </c>
      <c r="C66" t="s">
        <v>19</v>
      </c>
      <c r="D66" t="s">
        <v>20</v>
      </c>
      <c r="E66" s="2">
        <v>4800</v>
      </c>
      <c r="F66" t="s">
        <v>11</v>
      </c>
      <c r="G66" t="s">
        <v>15</v>
      </c>
    </row>
    <row r="67" spans="1:8">
      <c r="A67" s="1">
        <v>46178</v>
      </c>
      <c r="B67" t="s">
        <v>21</v>
      </c>
      <c r="C67" t="s">
        <v>17</v>
      </c>
      <c r="D67" t="s">
        <v>10</v>
      </c>
      <c r="E67" s="2">
        <v>41.75</v>
      </c>
      <c r="F67" t="s">
        <v>11</v>
      </c>
      <c r="G67" t="s">
        <v>12</v>
      </c>
    </row>
    <row r="68" spans="1:8">
      <c r="A68" s="1">
        <v>46179</v>
      </c>
      <c r="B68" t="s">
        <v>22</v>
      </c>
      <c r="C68" t="s">
        <v>23</v>
      </c>
      <c r="D68" t="s">
        <v>23</v>
      </c>
      <c r="E68" s="2">
        <v>500</v>
      </c>
      <c r="F68" t="s">
        <v>24</v>
      </c>
      <c r="G68" t="s">
        <v>15</v>
      </c>
      <c r="H68" t="s">
        <v>25</v>
      </c>
    </row>
    <row r="69" spans="1:8">
      <c r="A69" s="1">
        <v>46180</v>
      </c>
      <c r="B69" t="s">
        <v>26</v>
      </c>
      <c r="C69" t="s">
        <v>27</v>
      </c>
      <c r="D69" t="s">
        <v>10</v>
      </c>
      <c r="E69" s="2">
        <v>1500</v>
      </c>
      <c r="F69" t="s">
        <v>11</v>
      </c>
      <c r="G69" t="s">
        <v>15</v>
      </c>
    </row>
    <row r="70" spans="1:8">
      <c r="A70" s="1">
        <v>46181</v>
      </c>
      <c r="B70" t="s">
        <v>28</v>
      </c>
      <c r="C70" t="s">
        <v>29</v>
      </c>
      <c r="D70" t="s">
        <v>10</v>
      </c>
      <c r="E70" s="2">
        <v>55.9</v>
      </c>
      <c r="F70" t="s">
        <v>11</v>
      </c>
      <c r="G70" t="s">
        <v>12</v>
      </c>
    </row>
    <row r="71" spans="1:8">
      <c r="A71" s="1">
        <v>46181</v>
      </c>
      <c r="B71" t="s">
        <v>8</v>
      </c>
      <c r="C71" t="s">
        <v>9</v>
      </c>
      <c r="D71" t="s">
        <v>10</v>
      </c>
      <c r="E71" s="2">
        <v>27.61</v>
      </c>
      <c r="F71" t="s">
        <v>11</v>
      </c>
      <c r="G71" t="s">
        <v>12</v>
      </c>
    </row>
    <row r="72" spans="1:8">
      <c r="A72" s="1">
        <v>46182</v>
      </c>
      <c r="B72" t="s">
        <v>30</v>
      </c>
      <c r="C72" t="s">
        <v>9</v>
      </c>
      <c r="D72" t="s">
        <v>10</v>
      </c>
      <c r="E72" s="2">
        <v>190.48</v>
      </c>
      <c r="F72" t="s">
        <v>11</v>
      </c>
      <c r="G72" t="s">
        <v>15</v>
      </c>
    </row>
    <row r="73" spans="1:8">
      <c r="A73" s="1">
        <v>46183</v>
      </c>
      <c r="B73" t="s">
        <v>31</v>
      </c>
      <c r="C73" t="s">
        <v>27</v>
      </c>
      <c r="D73" t="s">
        <v>10</v>
      </c>
      <c r="E73" s="2">
        <v>420</v>
      </c>
      <c r="F73" t="s">
        <v>11</v>
      </c>
      <c r="G73" t="s">
        <v>15</v>
      </c>
    </row>
    <row r="74" spans="1:8">
      <c r="A74" s="1">
        <v>46184</v>
      </c>
      <c r="B74" t="s">
        <v>32</v>
      </c>
      <c r="C74" t="s">
        <v>29</v>
      </c>
      <c r="D74" t="s">
        <v>10</v>
      </c>
      <c r="E74" s="2">
        <v>21.9</v>
      </c>
      <c r="F74" t="s">
        <v>11</v>
      </c>
      <c r="G74" t="s">
        <v>12</v>
      </c>
    </row>
    <row r="75" spans="1:8">
      <c r="A75" s="1">
        <v>46184</v>
      </c>
      <c r="B75" t="s">
        <v>16</v>
      </c>
      <c r="C75" t="s">
        <v>17</v>
      </c>
      <c r="D75" t="s">
        <v>10</v>
      </c>
      <c r="E75" s="2">
        <v>247.93</v>
      </c>
      <c r="F75" t="s">
        <v>11</v>
      </c>
      <c r="G75" t="s">
        <v>12</v>
      </c>
    </row>
    <row r="76" spans="1:8">
      <c r="A76" s="1">
        <v>46185</v>
      </c>
      <c r="B76" t="s">
        <v>33</v>
      </c>
      <c r="C76" t="s">
        <v>27</v>
      </c>
      <c r="D76" t="s">
        <v>10</v>
      </c>
      <c r="E76" s="2">
        <v>151.39</v>
      </c>
      <c r="F76" t="s">
        <v>11</v>
      </c>
      <c r="G76" t="s">
        <v>15</v>
      </c>
    </row>
    <row r="77" spans="1:8">
      <c r="A77" s="1">
        <v>46185</v>
      </c>
      <c r="B77" t="s">
        <v>21</v>
      </c>
      <c r="C77" t="s">
        <v>17</v>
      </c>
      <c r="D77" t="s">
        <v>10</v>
      </c>
      <c r="E77" s="2">
        <v>42.75</v>
      </c>
      <c r="F77" t="s">
        <v>11</v>
      </c>
      <c r="G77" t="s">
        <v>12</v>
      </c>
    </row>
    <row r="78" spans="1:8">
      <c r="A78" s="1">
        <v>46186</v>
      </c>
      <c r="B78" t="s">
        <v>35</v>
      </c>
      <c r="C78" t="s">
        <v>36</v>
      </c>
      <c r="D78" t="s">
        <v>10</v>
      </c>
      <c r="E78" s="2">
        <v>133.12</v>
      </c>
      <c r="F78" t="s">
        <v>11</v>
      </c>
      <c r="G78" t="s">
        <v>12</v>
      </c>
    </row>
    <row r="79" spans="1:8">
      <c r="A79" s="1">
        <v>46187</v>
      </c>
      <c r="B79" t="s">
        <v>8</v>
      </c>
      <c r="C79" t="s">
        <v>9</v>
      </c>
      <c r="D79" t="s">
        <v>10</v>
      </c>
      <c r="E79" s="2">
        <v>26.79</v>
      </c>
      <c r="F79" t="s">
        <v>11</v>
      </c>
      <c r="G79" t="s">
        <v>12</v>
      </c>
    </row>
    <row r="80" spans="1:8">
      <c r="A80" s="1">
        <v>46188</v>
      </c>
      <c r="B80" t="s">
        <v>37</v>
      </c>
      <c r="C80" t="s">
        <v>27</v>
      </c>
      <c r="D80" t="s">
        <v>10</v>
      </c>
      <c r="E80" s="2">
        <v>109.9</v>
      </c>
      <c r="F80" t="s">
        <v>11</v>
      </c>
      <c r="G80" t="s">
        <v>15</v>
      </c>
    </row>
    <row r="81" spans="1:8">
      <c r="A81" s="1">
        <v>46189</v>
      </c>
      <c r="B81" t="s">
        <v>38</v>
      </c>
      <c r="C81" t="s">
        <v>14</v>
      </c>
      <c r="D81" t="s">
        <v>10</v>
      </c>
      <c r="E81" s="2">
        <v>73.06999999999999</v>
      </c>
      <c r="F81" t="s">
        <v>11</v>
      </c>
      <c r="G81" t="s">
        <v>15</v>
      </c>
    </row>
    <row r="82" spans="1:8">
      <c r="A82" s="1">
        <v>46191</v>
      </c>
      <c r="B82" t="s">
        <v>16</v>
      </c>
      <c r="C82" t="s">
        <v>17</v>
      </c>
      <c r="D82" t="s">
        <v>10</v>
      </c>
      <c r="E82" s="2">
        <v>253.36</v>
      </c>
      <c r="F82" t="s">
        <v>11</v>
      </c>
      <c r="G82" t="s">
        <v>12</v>
      </c>
    </row>
    <row r="83" spans="1:8">
      <c r="A83" s="1">
        <v>46192</v>
      </c>
      <c r="B83" t="s">
        <v>21</v>
      </c>
      <c r="C83" t="s">
        <v>17</v>
      </c>
      <c r="D83" t="s">
        <v>10</v>
      </c>
      <c r="E83" s="2">
        <v>67.88</v>
      </c>
      <c r="F83" t="s">
        <v>11</v>
      </c>
      <c r="G83" t="s">
        <v>12</v>
      </c>
    </row>
    <row r="84" spans="1:8">
      <c r="A84" s="1">
        <v>46193</v>
      </c>
      <c r="B84" t="s">
        <v>8</v>
      </c>
      <c r="C84" t="s">
        <v>9</v>
      </c>
      <c r="D84" t="s">
        <v>10</v>
      </c>
      <c r="E84" s="2">
        <v>17.59</v>
      </c>
      <c r="F84" t="s">
        <v>11</v>
      </c>
      <c r="G84" t="s">
        <v>12</v>
      </c>
    </row>
    <row r="85" spans="1:8">
      <c r="A85" s="1">
        <v>46193</v>
      </c>
      <c r="B85" t="s">
        <v>41</v>
      </c>
      <c r="C85" t="s">
        <v>42</v>
      </c>
      <c r="D85" t="s">
        <v>43</v>
      </c>
      <c r="E85" s="2">
        <v>2084</v>
      </c>
      <c r="F85" t="s">
        <v>24</v>
      </c>
      <c r="G85" t="s">
        <v>15</v>
      </c>
      <c r="H85" t="s">
        <v>44</v>
      </c>
    </row>
    <row r="86" spans="1:8">
      <c r="A86" s="1">
        <v>46194</v>
      </c>
      <c r="B86" t="s">
        <v>45</v>
      </c>
      <c r="C86" t="s">
        <v>46</v>
      </c>
      <c r="D86" t="s">
        <v>10</v>
      </c>
      <c r="E86" s="2">
        <v>292</v>
      </c>
      <c r="F86" t="s">
        <v>11</v>
      </c>
      <c r="G86" t="s">
        <v>12</v>
      </c>
    </row>
    <row r="87" spans="1:8">
      <c r="A87" s="1">
        <v>46196</v>
      </c>
      <c r="B87" t="s">
        <v>30</v>
      </c>
      <c r="C87" t="s">
        <v>9</v>
      </c>
      <c r="D87" t="s">
        <v>10</v>
      </c>
      <c r="E87" s="2">
        <v>193.35</v>
      </c>
      <c r="F87" t="s">
        <v>11</v>
      </c>
      <c r="G87" t="s">
        <v>15</v>
      </c>
    </row>
    <row r="88" spans="1:8">
      <c r="A88" s="1">
        <v>46198</v>
      </c>
      <c r="B88" t="s">
        <v>16</v>
      </c>
      <c r="C88" t="s">
        <v>17</v>
      </c>
      <c r="D88" t="s">
        <v>10</v>
      </c>
      <c r="E88" s="2">
        <v>263.78</v>
      </c>
      <c r="F88" t="s">
        <v>11</v>
      </c>
      <c r="G88" t="s">
        <v>12</v>
      </c>
    </row>
    <row r="89" spans="1:8">
      <c r="A89" s="1">
        <v>46199</v>
      </c>
      <c r="B89" t="s">
        <v>21</v>
      </c>
      <c r="C89" t="s">
        <v>17</v>
      </c>
      <c r="D89" t="s">
        <v>10</v>
      </c>
      <c r="E89" s="2">
        <v>55.4</v>
      </c>
      <c r="F89" t="s">
        <v>11</v>
      </c>
      <c r="G89" t="s">
        <v>12</v>
      </c>
    </row>
    <row r="90" spans="1:8">
      <c r="A90" s="1">
        <v>46200</v>
      </c>
      <c r="B90" t="s">
        <v>8</v>
      </c>
      <c r="C90" t="s">
        <v>9</v>
      </c>
      <c r="D90" t="s">
        <v>10</v>
      </c>
      <c r="E90" s="2">
        <v>29.31</v>
      </c>
      <c r="F90" t="s">
        <v>11</v>
      </c>
      <c r="G90" t="s">
        <v>12</v>
      </c>
    </row>
    <row r="91" spans="1:8">
      <c r="A91" s="1">
        <v>46201</v>
      </c>
      <c r="B91" t="s">
        <v>35</v>
      </c>
      <c r="C91" t="s">
        <v>36</v>
      </c>
      <c r="D91" t="s">
        <v>10</v>
      </c>
      <c r="E91" s="2">
        <v>218.53</v>
      </c>
      <c r="F91" t="s">
        <v>11</v>
      </c>
      <c r="G91" t="s">
        <v>12</v>
      </c>
    </row>
    <row r="92" spans="1:8">
      <c r="A92" s="1">
        <v>46205</v>
      </c>
      <c r="B92" t="s">
        <v>8</v>
      </c>
      <c r="C92" t="s">
        <v>9</v>
      </c>
      <c r="D92" t="s">
        <v>10</v>
      </c>
      <c r="E92" s="2">
        <v>27.76</v>
      </c>
      <c r="F92" t="s">
        <v>11</v>
      </c>
      <c r="G92" t="s">
        <v>12</v>
      </c>
    </row>
    <row r="93" spans="1:8">
      <c r="A93" s="1">
        <v>46206</v>
      </c>
      <c r="B93" t="s">
        <v>13</v>
      </c>
      <c r="C93" t="s">
        <v>14</v>
      </c>
      <c r="D93" t="s">
        <v>10</v>
      </c>
      <c r="E93" s="2">
        <v>119.9</v>
      </c>
      <c r="F93" t="s">
        <v>11</v>
      </c>
      <c r="G93" t="s">
        <v>15</v>
      </c>
    </row>
    <row r="94" spans="1:8">
      <c r="A94" s="1">
        <v>46207</v>
      </c>
      <c r="B94" t="s">
        <v>16</v>
      </c>
      <c r="C94" t="s">
        <v>17</v>
      </c>
      <c r="D94" t="s">
        <v>10</v>
      </c>
      <c r="E94" s="2">
        <v>321.14</v>
      </c>
      <c r="F94" t="s">
        <v>11</v>
      </c>
      <c r="G94" t="s">
        <v>12</v>
      </c>
    </row>
    <row r="95" spans="1:8">
      <c r="A95" s="1">
        <v>46208</v>
      </c>
      <c r="B95" t="s">
        <v>18</v>
      </c>
      <c r="C95" t="s">
        <v>19</v>
      </c>
      <c r="D95" t="s">
        <v>20</v>
      </c>
      <c r="E95" s="2">
        <v>4800</v>
      </c>
      <c r="F95" t="s">
        <v>11</v>
      </c>
      <c r="G95" t="s">
        <v>15</v>
      </c>
    </row>
    <row r="96" spans="1:8">
      <c r="A96" s="1">
        <v>46208</v>
      </c>
      <c r="B96" t="s">
        <v>21</v>
      </c>
      <c r="C96" t="s">
        <v>17</v>
      </c>
      <c r="D96" t="s">
        <v>10</v>
      </c>
      <c r="E96" s="2">
        <v>74.47</v>
      </c>
      <c r="F96" t="s">
        <v>11</v>
      </c>
      <c r="G96" t="s">
        <v>12</v>
      </c>
    </row>
    <row r="97" spans="1:8">
      <c r="A97" s="1">
        <v>46209</v>
      </c>
      <c r="B97" t="s">
        <v>22</v>
      </c>
      <c r="C97" t="s">
        <v>23</v>
      </c>
      <c r="D97" t="s">
        <v>23</v>
      </c>
      <c r="E97" s="2">
        <v>500</v>
      </c>
      <c r="F97" t="s">
        <v>24</v>
      </c>
      <c r="G97" t="s">
        <v>15</v>
      </c>
      <c r="H97" t="s">
        <v>25</v>
      </c>
    </row>
    <row r="98" spans="1:8">
      <c r="A98" s="1">
        <v>46210</v>
      </c>
      <c r="B98" t="s">
        <v>26</v>
      </c>
      <c r="C98" t="s">
        <v>27</v>
      </c>
      <c r="D98" t="s">
        <v>10</v>
      </c>
      <c r="E98" s="2">
        <v>1500</v>
      </c>
      <c r="F98" t="s">
        <v>11</v>
      </c>
      <c r="G98" t="s">
        <v>15</v>
      </c>
    </row>
    <row r="99" spans="1:8">
      <c r="A99" s="1">
        <v>46211</v>
      </c>
      <c r="B99" t="s">
        <v>28</v>
      </c>
      <c r="C99" t="s">
        <v>29</v>
      </c>
      <c r="D99" t="s">
        <v>10</v>
      </c>
      <c r="E99" s="2">
        <v>55.9</v>
      </c>
      <c r="F99" t="s">
        <v>11</v>
      </c>
      <c r="G99" t="s">
        <v>12</v>
      </c>
    </row>
    <row r="100" spans="1:8">
      <c r="A100" s="1">
        <v>46211</v>
      </c>
      <c r="B100" t="s">
        <v>8</v>
      </c>
      <c r="C100" t="s">
        <v>9</v>
      </c>
      <c r="D100" t="s">
        <v>10</v>
      </c>
      <c r="E100" s="2">
        <v>22.31</v>
      </c>
      <c r="F100" t="s">
        <v>11</v>
      </c>
      <c r="G100" t="s">
        <v>12</v>
      </c>
    </row>
    <row r="101" spans="1:8">
      <c r="A101" s="1">
        <v>46212</v>
      </c>
      <c r="B101" t="s">
        <v>30</v>
      </c>
      <c r="C101" t="s">
        <v>9</v>
      </c>
      <c r="D101" t="s">
        <v>10</v>
      </c>
      <c r="E101" s="2">
        <v>223.82</v>
      </c>
      <c r="F101" t="s">
        <v>11</v>
      </c>
      <c r="G101" t="s">
        <v>15</v>
      </c>
    </row>
    <row r="102" spans="1:8">
      <c r="A102" s="1">
        <v>46213</v>
      </c>
      <c r="B102" t="s">
        <v>31</v>
      </c>
      <c r="C102" t="s">
        <v>27</v>
      </c>
      <c r="D102" t="s">
        <v>10</v>
      </c>
      <c r="E102" s="2">
        <v>420</v>
      </c>
      <c r="F102" t="s">
        <v>11</v>
      </c>
      <c r="G102" t="s">
        <v>15</v>
      </c>
    </row>
    <row r="103" spans="1:8">
      <c r="A103" s="1">
        <v>46214</v>
      </c>
      <c r="B103" t="s">
        <v>32</v>
      </c>
      <c r="C103" t="s">
        <v>29</v>
      </c>
      <c r="D103" t="s">
        <v>10</v>
      </c>
      <c r="E103" s="2">
        <v>21.9</v>
      </c>
      <c r="F103" t="s">
        <v>11</v>
      </c>
      <c r="G103" t="s">
        <v>12</v>
      </c>
    </row>
    <row r="104" spans="1:8">
      <c r="A104" s="1">
        <v>46214</v>
      </c>
      <c r="B104" t="s">
        <v>16</v>
      </c>
      <c r="C104" t="s">
        <v>17</v>
      </c>
      <c r="D104" t="s">
        <v>10</v>
      </c>
      <c r="E104" s="2">
        <v>247.49</v>
      </c>
      <c r="F104" t="s">
        <v>11</v>
      </c>
      <c r="G104" t="s">
        <v>12</v>
      </c>
    </row>
    <row r="105" spans="1:8">
      <c r="A105" s="1">
        <v>46215</v>
      </c>
      <c r="B105" t="s">
        <v>33</v>
      </c>
      <c r="C105" t="s">
        <v>27</v>
      </c>
      <c r="D105" t="s">
        <v>10</v>
      </c>
      <c r="E105" s="2">
        <v>174.23</v>
      </c>
      <c r="F105" t="s">
        <v>11</v>
      </c>
      <c r="G105" t="s">
        <v>15</v>
      </c>
    </row>
    <row r="106" spans="1:8">
      <c r="A106" s="1">
        <v>46215</v>
      </c>
      <c r="B106" t="s">
        <v>21</v>
      </c>
      <c r="C106" t="s">
        <v>17</v>
      </c>
      <c r="D106" t="s">
        <v>10</v>
      </c>
      <c r="E106" s="2">
        <v>39.51</v>
      </c>
      <c r="F106" t="s">
        <v>11</v>
      </c>
      <c r="G106" t="s">
        <v>12</v>
      </c>
    </row>
    <row r="107" spans="1:8">
      <c r="A107" s="1">
        <v>46216</v>
      </c>
      <c r="B107" t="s">
        <v>35</v>
      </c>
      <c r="C107" t="s">
        <v>36</v>
      </c>
      <c r="D107" t="s">
        <v>10</v>
      </c>
      <c r="E107" s="2">
        <v>158.59</v>
      </c>
      <c r="F107" t="s">
        <v>11</v>
      </c>
      <c r="G107" t="s">
        <v>12</v>
      </c>
    </row>
    <row r="108" spans="1:8">
      <c r="A108" s="1">
        <v>46217</v>
      </c>
      <c r="B108" t="s">
        <v>8</v>
      </c>
      <c r="C108" t="s">
        <v>9</v>
      </c>
      <c r="D108" t="s">
        <v>10</v>
      </c>
      <c r="E108" s="2">
        <v>33.21</v>
      </c>
      <c r="F108" t="s">
        <v>11</v>
      </c>
      <c r="G108" t="s">
        <v>12</v>
      </c>
    </row>
    <row r="109" spans="1:8">
      <c r="A109" s="1">
        <v>46218</v>
      </c>
      <c r="B109" t="s">
        <v>37</v>
      </c>
      <c r="C109" t="s">
        <v>27</v>
      </c>
      <c r="D109" t="s">
        <v>10</v>
      </c>
      <c r="E109" s="2">
        <v>109.9</v>
      </c>
      <c r="F109" t="s">
        <v>11</v>
      </c>
      <c r="G109" t="s">
        <v>15</v>
      </c>
    </row>
    <row r="110" spans="1:8">
      <c r="A110" s="1">
        <v>46219</v>
      </c>
      <c r="B110" t="s">
        <v>38</v>
      </c>
      <c r="C110" t="s">
        <v>14</v>
      </c>
      <c r="D110" t="s">
        <v>10</v>
      </c>
      <c r="E110" s="2">
        <v>79.73</v>
      </c>
      <c r="F110" t="s">
        <v>11</v>
      </c>
      <c r="G110" t="s">
        <v>15</v>
      </c>
    </row>
    <row r="111" spans="1:8">
      <c r="A111" s="1">
        <v>46221</v>
      </c>
      <c r="B111" t="s">
        <v>39</v>
      </c>
      <c r="C111" t="s">
        <v>40</v>
      </c>
      <c r="D111" t="s">
        <v>20</v>
      </c>
      <c r="E111" s="2">
        <v>767.08</v>
      </c>
      <c r="F111" t="s">
        <v>11</v>
      </c>
      <c r="G111" t="s">
        <v>15</v>
      </c>
    </row>
    <row r="112" spans="1:8">
      <c r="A112" s="1">
        <v>46221</v>
      </c>
      <c r="B112" t="s">
        <v>16</v>
      </c>
      <c r="C112" t="s">
        <v>17</v>
      </c>
      <c r="D112" t="s">
        <v>10</v>
      </c>
      <c r="E112" s="2">
        <v>257.85</v>
      </c>
      <c r="F112" t="s">
        <v>11</v>
      </c>
      <c r="G112" t="s">
        <v>12</v>
      </c>
    </row>
    <row r="113" spans="1:8">
      <c r="A113" s="1">
        <v>46222</v>
      </c>
      <c r="B113" t="s">
        <v>21</v>
      </c>
      <c r="C113" t="s">
        <v>17</v>
      </c>
      <c r="D113" t="s">
        <v>10</v>
      </c>
      <c r="E113" s="2">
        <v>50.58</v>
      </c>
      <c r="F113" t="s">
        <v>11</v>
      </c>
      <c r="G113" t="s">
        <v>12</v>
      </c>
    </row>
    <row r="114" spans="1:8">
      <c r="A114" s="1">
        <v>46223</v>
      </c>
      <c r="B114" t="s">
        <v>8</v>
      </c>
      <c r="C114" t="s">
        <v>9</v>
      </c>
      <c r="D114" t="s">
        <v>10</v>
      </c>
      <c r="E114" s="2">
        <v>23.64</v>
      </c>
      <c r="F114" t="s">
        <v>11</v>
      </c>
      <c r="G114" t="s">
        <v>12</v>
      </c>
    </row>
    <row r="115" spans="1:8">
      <c r="A115" s="1">
        <v>46223</v>
      </c>
      <c r="B115" t="s">
        <v>41</v>
      </c>
      <c r="C115" t="s">
        <v>42</v>
      </c>
      <c r="D115" t="s">
        <v>43</v>
      </c>
      <c r="E115" s="2">
        <v>2073.71</v>
      </c>
      <c r="F115" t="s">
        <v>24</v>
      </c>
      <c r="G115" t="s">
        <v>15</v>
      </c>
      <c r="H115" t="s">
        <v>44</v>
      </c>
    </row>
    <row r="116" spans="1:8">
      <c r="A116" s="1">
        <v>46224</v>
      </c>
      <c r="B116" t="s">
        <v>45</v>
      </c>
      <c r="C116" t="s">
        <v>46</v>
      </c>
      <c r="D116" t="s">
        <v>10</v>
      </c>
      <c r="E116" s="2">
        <v>275.38</v>
      </c>
      <c r="F116" t="s">
        <v>11</v>
      </c>
      <c r="G116" t="s">
        <v>12</v>
      </c>
    </row>
    <row r="117" spans="1:8">
      <c r="A117" s="1">
        <v>46226</v>
      </c>
      <c r="B117" t="s">
        <v>30</v>
      </c>
      <c r="C117" t="s">
        <v>9</v>
      </c>
      <c r="D117" t="s">
        <v>10</v>
      </c>
      <c r="E117" s="2">
        <v>195.73</v>
      </c>
      <c r="F117" t="s">
        <v>11</v>
      </c>
      <c r="G117" t="s">
        <v>15</v>
      </c>
    </row>
    <row r="118" spans="1:8">
      <c r="A118" s="1">
        <v>46228</v>
      </c>
      <c r="B118" t="s">
        <v>16</v>
      </c>
      <c r="C118" t="s">
        <v>17</v>
      </c>
      <c r="D118" t="s">
        <v>10</v>
      </c>
      <c r="E118" s="2">
        <v>245.32</v>
      </c>
      <c r="F118" t="s">
        <v>11</v>
      </c>
      <c r="G118" t="s">
        <v>12</v>
      </c>
    </row>
    <row r="119" spans="1:8">
      <c r="A119" s="1">
        <v>46229</v>
      </c>
      <c r="B119" t="s">
        <v>21</v>
      </c>
      <c r="C119" t="s">
        <v>17</v>
      </c>
      <c r="D119" t="s">
        <v>10</v>
      </c>
      <c r="E119" s="2">
        <v>82.31999999999999</v>
      </c>
      <c r="F119" t="s">
        <v>11</v>
      </c>
      <c r="G119" t="s">
        <v>12</v>
      </c>
    </row>
    <row r="120" spans="1:8">
      <c r="A120" s="1">
        <v>46230</v>
      </c>
      <c r="B120" t="s">
        <v>8</v>
      </c>
      <c r="C120" t="s">
        <v>9</v>
      </c>
      <c r="D120" t="s">
        <v>10</v>
      </c>
      <c r="E120" s="2">
        <v>19.56</v>
      </c>
      <c r="F120" t="s">
        <v>11</v>
      </c>
      <c r="G120" t="s">
        <v>12</v>
      </c>
    </row>
    <row r="121" spans="1:8">
      <c r="A121" s="1">
        <v>46231</v>
      </c>
      <c r="B121" t="s">
        <v>35</v>
      </c>
      <c r="C121" t="s">
        <v>36</v>
      </c>
      <c r="D121" t="s">
        <v>10</v>
      </c>
      <c r="E121" s="2">
        <v>116.78</v>
      </c>
      <c r="F121" t="s">
        <v>11</v>
      </c>
      <c r="G121" t="s">
        <v>12</v>
      </c>
    </row>
    <row r="122" spans="1:8">
      <c r="A122" s="1">
        <v>46236</v>
      </c>
      <c r="B122" t="s">
        <v>8</v>
      </c>
      <c r="C122" t="s">
        <v>9</v>
      </c>
      <c r="D122" t="s">
        <v>10</v>
      </c>
      <c r="E122" s="2">
        <v>22.01</v>
      </c>
      <c r="F122" t="s">
        <v>11</v>
      </c>
      <c r="G122" t="s">
        <v>12</v>
      </c>
    </row>
    <row r="123" spans="1:8">
      <c r="A123" s="1">
        <v>46237</v>
      </c>
      <c r="B123" t="s">
        <v>13</v>
      </c>
      <c r="C123" t="s">
        <v>14</v>
      </c>
      <c r="D123" t="s">
        <v>10</v>
      </c>
      <c r="E123" s="2">
        <v>119.9</v>
      </c>
      <c r="F123" t="s">
        <v>11</v>
      </c>
      <c r="G123" t="s">
        <v>15</v>
      </c>
    </row>
    <row r="124" spans="1:8">
      <c r="A124" s="1">
        <v>46238</v>
      </c>
      <c r="B124" t="s">
        <v>16</v>
      </c>
      <c r="C124" t="s">
        <v>17</v>
      </c>
      <c r="D124" t="s">
        <v>10</v>
      </c>
      <c r="E124" s="2">
        <v>246.32</v>
      </c>
      <c r="F124" t="s">
        <v>11</v>
      </c>
      <c r="G124" t="s">
        <v>12</v>
      </c>
    </row>
    <row r="125" spans="1:8">
      <c r="A125" s="1">
        <v>46239</v>
      </c>
      <c r="B125" t="s">
        <v>18</v>
      </c>
      <c r="C125" t="s">
        <v>19</v>
      </c>
      <c r="D125" t="s">
        <v>20</v>
      </c>
      <c r="E125" s="2">
        <v>4800</v>
      </c>
      <c r="F125" t="s">
        <v>11</v>
      </c>
      <c r="G125" t="s">
        <v>15</v>
      </c>
    </row>
    <row r="126" spans="1:8">
      <c r="A126" s="1">
        <v>46239</v>
      </c>
      <c r="B126" t="s">
        <v>21</v>
      </c>
      <c r="C126" t="s">
        <v>17</v>
      </c>
      <c r="D126" t="s">
        <v>10</v>
      </c>
      <c r="E126" s="2">
        <v>84.88</v>
      </c>
      <c r="F126" t="s">
        <v>11</v>
      </c>
      <c r="G126" t="s">
        <v>12</v>
      </c>
    </row>
    <row r="127" spans="1:8">
      <c r="A127" s="1">
        <v>46240</v>
      </c>
      <c r="B127" t="s">
        <v>22</v>
      </c>
      <c r="C127" t="s">
        <v>23</v>
      </c>
      <c r="D127" t="s">
        <v>23</v>
      </c>
      <c r="E127" s="2">
        <v>500</v>
      </c>
      <c r="F127" t="s">
        <v>24</v>
      </c>
      <c r="G127" t="s">
        <v>15</v>
      </c>
      <c r="H127" t="s">
        <v>25</v>
      </c>
    </row>
    <row r="128" spans="1:8">
      <c r="A128" s="1">
        <v>46241</v>
      </c>
      <c r="B128" t="s">
        <v>26</v>
      </c>
      <c r="C128" t="s">
        <v>27</v>
      </c>
      <c r="D128" t="s">
        <v>10</v>
      </c>
      <c r="E128" s="2">
        <v>1500</v>
      </c>
      <c r="F128" t="s">
        <v>11</v>
      </c>
      <c r="G128" t="s">
        <v>15</v>
      </c>
    </row>
    <row r="129" spans="1:7">
      <c r="A129" s="1">
        <v>46242</v>
      </c>
      <c r="B129" t="s">
        <v>28</v>
      </c>
      <c r="C129" t="s">
        <v>29</v>
      </c>
      <c r="D129" t="s">
        <v>10</v>
      </c>
      <c r="E129" s="2">
        <v>55.9</v>
      </c>
      <c r="F129" t="s">
        <v>11</v>
      </c>
      <c r="G129" t="s">
        <v>12</v>
      </c>
    </row>
    <row r="130" spans="1:7">
      <c r="A130" s="1">
        <v>46242</v>
      </c>
      <c r="B130" t="s">
        <v>8</v>
      </c>
      <c r="C130" t="s">
        <v>9</v>
      </c>
      <c r="D130" t="s">
        <v>10</v>
      </c>
      <c r="E130" s="2">
        <v>34.92</v>
      </c>
      <c r="F130" t="s">
        <v>11</v>
      </c>
      <c r="G130" t="s">
        <v>12</v>
      </c>
    </row>
    <row r="131" spans="1:7">
      <c r="A131" s="1">
        <v>46243</v>
      </c>
      <c r="B131" t="s">
        <v>30</v>
      </c>
      <c r="C131" t="s">
        <v>9</v>
      </c>
      <c r="D131" t="s">
        <v>10</v>
      </c>
      <c r="E131" s="2">
        <v>201.11</v>
      </c>
      <c r="F131" t="s">
        <v>11</v>
      </c>
      <c r="G131" t="s">
        <v>15</v>
      </c>
    </row>
    <row r="132" spans="1:7">
      <c r="A132" s="1">
        <v>46244</v>
      </c>
      <c r="B132" t="s">
        <v>31</v>
      </c>
      <c r="C132" t="s">
        <v>27</v>
      </c>
      <c r="D132" t="s">
        <v>10</v>
      </c>
      <c r="E132" s="2">
        <v>420</v>
      </c>
      <c r="F132" t="s">
        <v>11</v>
      </c>
      <c r="G132" t="s">
        <v>15</v>
      </c>
    </row>
    <row r="133" spans="1:7">
      <c r="A133" s="1">
        <v>46245</v>
      </c>
      <c r="B133" t="s">
        <v>32</v>
      </c>
      <c r="C133" t="s">
        <v>29</v>
      </c>
      <c r="D133" t="s">
        <v>10</v>
      </c>
      <c r="E133" s="2">
        <v>21.9</v>
      </c>
      <c r="F133" t="s">
        <v>11</v>
      </c>
      <c r="G133" t="s">
        <v>12</v>
      </c>
    </row>
    <row r="134" spans="1:7">
      <c r="A134" s="1">
        <v>46245</v>
      </c>
      <c r="B134" t="s">
        <v>16</v>
      </c>
      <c r="C134" t="s">
        <v>17</v>
      </c>
      <c r="D134" t="s">
        <v>10</v>
      </c>
      <c r="E134" s="2">
        <v>281.14</v>
      </c>
      <c r="F134" t="s">
        <v>11</v>
      </c>
      <c r="G134" t="s">
        <v>12</v>
      </c>
    </row>
    <row r="135" spans="1:7">
      <c r="A135" s="1">
        <v>46246</v>
      </c>
      <c r="B135" t="s">
        <v>33</v>
      </c>
      <c r="C135" t="s">
        <v>27</v>
      </c>
      <c r="D135" t="s">
        <v>10</v>
      </c>
      <c r="E135" s="2">
        <v>159.97</v>
      </c>
      <c r="F135" t="s">
        <v>11</v>
      </c>
      <c r="G135" t="s">
        <v>15</v>
      </c>
    </row>
    <row r="136" spans="1:7">
      <c r="A136" s="1">
        <v>46246</v>
      </c>
      <c r="B136" t="s">
        <v>21</v>
      </c>
      <c r="C136" t="s">
        <v>17</v>
      </c>
      <c r="D136" t="s">
        <v>10</v>
      </c>
      <c r="E136" s="2">
        <v>42.27</v>
      </c>
      <c r="F136" t="s">
        <v>11</v>
      </c>
      <c r="G136" t="s">
        <v>12</v>
      </c>
    </row>
    <row r="137" spans="1:7">
      <c r="A137" s="1">
        <v>46247</v>
      </c>
      <c r="B137" t="s">
        <v>35</v>
      </c>
      <c r="C137" t="s">
        <v>36</v>
      </c>
      <c r="D137" t="s">
        <v>10</v>
      </c>
      <c r="E137" s="2">
        <v>180.9</v>
      </c>
      <c r="F137" t="s">
        <v>11</v>
      </c>
      <c r="G137" t="s">
        <v>12</v>
      </c>
    </row>
    <row r="138" spans="1:7">
      <c r="A138" s="1">
        <v>46248</v>
      </c>
      <c r="B138" t="s">
        <v>8</v>
      </c>
      <c r="C138" t="s">
        <v>9</v>
      </c>
      <c r="D138" t="s">
        <v>10</v>
      </c>
      <c r="E138" s="2">
        <v>25.11</v>
      </c>
      <c r="F138" t="s">
        <v>11</v>
      </c>
      <c r="G138" t="s">
        <v>12</v>
      </c>
    </row>
    <row r="139" spans="1:7">
      <c r="A139" s="1">
        <v>46249</v>
      </c>
      <c r="B139" t="s">
        <v>37</v>
      </c>
      <c r="C139" t="s">
        <v>27</v>
      </c>
      <c r="D139" t="s">
        <v>10</v>
      </c>
      <c r="E139" s="2">
        <v>109.9</v>
      </c>
      <c r="F139" t="s">
        <v>11</v>
      </c>
      <c r="G139" t="s">
        <v>15</v>
      </c>
    </row>
    <row r="140" spans="1:7">
      <c r="A140" s="1">
        <v>46250</v>
      </c>
      <c r="B140" t="s">
        <v>38</v>
      </c>
      <c r="C140" t="s">
        <v>14</v>
      </c>
      <c r="D140" t="s">
        <v>10</v>
      </c>
      <c r="E140" s="2">
        <v>60.92</v>
      </c>
      <c r="F140" t="s">
        <v>11</v>
      </c>
      <c r="G140" t="s">
        <v>15</v>
      </c>
    </row>
    <row r="141" spans="1:7">
      <c r="A141" s="1">
        <v>46252</v>
      </c>
      <c r="B141" t="s">
        <v>39</v>
      </c>
      <c r="C141" t="s">
        <v>40</v>
      </c>
      <c r="D141" t="s">
        <v>20</v>
      </c>
      <c r="E141" s="2">
        <v>869.35</v>
      </c>
      <c r="F141" t="s">
        <v>11</v>
      </c>
      <c r="G141" t="s">
        <v>15</v>
      </c>
    </row>
    <row r="142" spans="1:7">
      <c r="A142" s="1">
        <v>46252</v>
      </c>
      <c r="B142" t="s">
        <v>16</v>
      </c>
      <c r="C142" t="s">
        <v>17</v>
      </c>
      <c r="D142" t="s">
        <v>10</v>
      </c>
      <c r="E142" s="2">
        <v>225.65</v>
      </c>
      <c r="F142" t="s">
        <v>11</v>
      </c>
      <c r="G142" t="s">
        <v>12</v>
      </c>
    </row>
    <row r="143" spans="1:7">
      <c r="A143" s="1">
        <v>46253</v>
      </c>
      <c r="B143" t="s">
        <v>21</v>
      </c>
      <c r="C143" t="s">
        <v>17</v>
      </c>
      <c r="D143" t="s">
        <v>10</v>
      </c>
      <c r="E143" s="2">
        <v>43.15</v>
      </c>
      <c r="F143" t="s">
        <v>11</v>
      </c>
      <c r="G143" t="s">
        <v>12</v>
      </c>
    </row>
    <row r="144" spans="1:7">
      <c r="A144" s="1">
        <v>46254</v>
      </c>
      <c r="B144" t="s">
        <v>8</v>
      </c>
      <c r="C144" t="s">
        <v>9</v>
      </c>
      <c r="D144" t="s">
        <v>10</v>
      </c>
      <c r="E144" s="2">
        <v>34.39</v>
      </c>
      <c r="F144" t="s">
        <v>11</v>
      </c>
      <c r="G144" t="s">
        <v>12</v>
      </c>
    </row>
    <row r="145" spans="1:8">
      <c r="A145" s="1">
        <v>46254</v>
      </c>
      <c r="B145" t="s">
        <v>41</v>
      </c>
      <c r="C145" t="s">
        <v>42</v>
      </c>
      <c r="D145" t="s">
        <v>43</v>
      </c>
      <c r="E145" s="2">
        <v>2137.69</v>
      </c>
      <c r="F145" t="s">
        <v>24</v>
      </c>
      <c r="G145" t="s">
        <v>15</v>
      </c>
      <c r="H145" t="s">
        <v>44</v>
      </c>
    </row>
    <row r="146" spans="1:8">
      <c r="A146" s="1">
        <v>46255</v>
      </c>
      <c r="B146" t="s">
        <v>45</v>
      </c>
      <c r="C146" t="s">
        <v>46</v>
      </c>
      <c r="D146" t="s">
        <v>10</v>
      </c>
      <c r="E146" s="2">
        <v>261.09</v>
      </c>
      <c r="F146" t="s">
        <v>11</v>
      </c>
      <c r="G146" t="s">
        <v>12</v>
      </c>
    </row>
    <row r="147" spans="1:8">
      <c r="A147" s="1">
        <v>46257</v>
      </c>
      <c r="B147" t="s">
        <v>30</v>
      </c>
      <c r="C147" t="s">
        <v>9</v>
      </c>
      <c r="D147" t="s">
        <v>10</v>
      </c>
      <c r="E147" s="2">
        <v>183.18</v>
      </c>
      <c r="F147" t="s">
        <v>11</v>
      </c>
      <c r="G147" t="s">
        <v>15</v>
      </c>
    </row>
    <row r="148" spans="1:8">
      <c r="A148" s="1">
        <v>46259</v>
      </c>
      <c r="B148" t="s">
        <v>16</v>
      </c>
      <c r="C148" t="s">
        <v>17</v>
      </c>
      <c r="D148" t="s">
        <v>10</v>
      </c>
      <c r="E148" s="2">
        <v>295.29</v>
      </c>
      <c r="F148" t="s">
        <v>11</v>
      </c>
      <c r="G148" t="s">
        <v>12</v>
      </c>
    </row>
    <row r="149" spans="1:8">
      <c r="A149" s="1">
        <v>46260</v>
      </c>
      <c r="B149" t="s">
        <v>21</v>
      </c>
      <c r="C149" t="s">
        <v>17</v>
      </c>
      <c r="D149" t="s">
        <v>10</v>
      </c>
      <c r="E149" s="2">
        <v>75.23</v>
      </c>
      <c r="F149" t="s">
        <v>11</v>
      </c>
      <c r="G149" t="s">
        <v>12</v>
      </c>
    </row>
    <row r="150" spans="1:8">
      <c r="A150" s="1">
        <v>46261</v>
      </c>
      <c r="B150" t="s">
        <v>8</v>
      </c>
      <c r="C150" t="s">
        <v>9</v>
      </c>
      <c r="D150" t="s">
        <v>10</v>
      </c>
      <c r="E150" s="2">
        <v>32.08</v>
      </c>
      <c r="F150" t="s">
        <v>11</v>
      </c>
      <c r="G150" t="s">
        <v>12</v>
      </c>
    </row>
    <row r="151" spans="1:8">
      <c r="A151" s="1">
        <v>46262</v>
      </c>
      <c r="B151" t="s">
        <v>35</v>
      </c>
      <c r="C151" t="s">
        <v>36</v>
      </c>
      <c r="D151" t="s">
        <v>10</v>
      </c>
      <c r="E151" s="2">
        <v>175.44</v>
      </c>
      <c r="F151" t="s">
        <v>11</v>
      </c>
      <c r="G151" t="s">
        <v>12</v>
      </c>
    </row>
    <row r="152" spans="1:8">
      <c r="A152" s="1">
        <v>46267</v>
      </c>
      <c r="B152" t="s">
        <v>8</v>
      </c>
      <c r="C152" t="s">
        <v>9</v>
      </c>
      <c r="D152" t="s">
        <v>10</v>
      </c>
      <c r="E152" s="2">
        <v>32.28</v>
      </c>
      <c r="F152" t="s">
        <v>11</v>
      </c>
      <c r="G152" t="s">
        <v>12</v>
      </c>
    </row>
    <row r="153" spans="1:8">
      <c r="A153" s="1">
        <v>46268</v>
      </c>
      <c r="B153" t="s">
        <v>13</v>
      </c>
      <c r="C153" t="s">
        <v>14</v>
      </c>
      <c r="D153" t="s">
        <v>10</v>
      </c>
      <c r="E153" s="2">
        <v>119.9</v>
      </c>
      <c r="F153" t="s">
        <v>11</v>
      </c>
      <c r="G153" t="s">
        <v>15</v>
      </c>
    </row>
    <row r="154" spans="1:8">
      <c r="A154" s="1">
        <v>46269</v>
      </c>
      <c r="B154" t="s">
        <v>16</v>
      </c>
      <c r="C154" t="s">
        <v>17</v>
      </c>
      <c r="D154" t="s">
        <v>10</v>
      </c>
      <c r="E154" s="2">
        <v>296.92</v>
      </c>
      <c r="F154" t="s">
        <v>11</v>
      </c>
      <c r="G154" t="s">
        <v>12</v>
      </c>
    </row>
    <row r="155" spans="1:8">
      <c r="A155" s="1">
        <v>46270</v>
      </c>
      <c r="B155" t="s">
        <v>18</v>
      </c>
      <c r="C155" t="s">
        <v>19</v>
      </c>
      <c r="D155" t="s">
        <v>20</v>
      </c>
      <c r="E155" s="2">
        <v>4800</v>
      </c>
      <c r="F155" t="s">
        <v>11</v>
      </c>
      <c r="G155" t="s">
        <v>15</v>
      </c>
    </row>
    <row r="156" spans="1:8">
      <c r="A156" s="1">
        <v>46270</v>
      </c>
      <c r="B156" t="s">
        <v>21</v>
      </c>
      <c r="C156" t="s">
        <v>17</v>
      </c>
      <c r="D156" t="s">
        <v>10</v>
      </c>
      <c r="E156" s="2">
        <v>43.24</v>
      </c>
      <c r="F156" t="s">
        <v>11</v>
      </c>
      <c r="G156" t="s">
        <v>12</v>
      </c>
    </row>
    <row r="157" spans="1:8">
      <c r="A157" s="1">
        <v>46271</v>
      </c>
      <c r="B157" t="s">
        <v>22</v>
      </c>
      <c r="C157" t="s">
        <v>23</v>
      </c>
      <c r="D157" t="s">
        <v>23</v>
      </c>
      <c r="E157" s="2">
        <v>500</v>
      </c>
      <c r="F157" t="s">
        <v>24</v>
      </c>
      <c r="G157" t="s">
        <v>15</v>
      </c>
      <c r="H157" t="s">
        <v>25</v>
      </c>
    </row>
    <row r="158" spans="1:8">
      <c r="A158" s="1">
        <v>46272</v>
      </c>
      <c r="B158" t="s">
        <v>26</v>
      </c>
      <c r="C158" t="s">
        <v>27</v>
      </c>
      <c r="D158" t="s">
        <v>10</v>
      </c>
      <c r="E158" s="2">
        <v>1500</v>
      </c>
      <c r="F158" t="s">
        <v>11</v>
      </c>
      <c r="G158" t="s">
        <v>15</v>
      </c>
    </row>
    <row r="159" spans="1:8">
      <c r="A159" s="1">
        <v>46273</v>
      </c>
      <c r="B159" t="s">
        <v>28</v>
      </c>
      <c r="C159" t="s">
        <v>29</v>
      </c>
      <c r="D159" t="s">
        <v>10</v>
      </c>
      <c r="E159" s="2">
        <v>55.9</v>
      </c>
      <c r="F159" t="s">
        <v>11</v>
      </c>
      <c r="G159" t="s">
        <v>12</v>
      </c>
    </row>
    <row r="160" spans="1:8">
      <c r="A160" s="1">
        <v>46273</v>
      </c>
      <c r="B160" t="s">
        <v>8</v>
      </c>
      <c r="C160" t="s">
        <v>9</v>
      </c>
      <c r="D160" t="s">
        <v>10</v>
      </c>
      <c r="E160" s="2">
        <v>20.27</v>
      </c>
      <c r="F160" t="s">
        <v>11</v>
      </c>
      <c r="G160" t="s">
        <v>12</v>
      </c>
    </row>
    <row r="161" spans="1:8">
      <c r="A161" s="1">
        <v>46274</v>
      </c>
      <c r="B161" t="s">
        <v>30</v>
      </c>
      <c r="C161" t="s">
        <v>9</v>
      </c>
      <c r="D161" t="s">
        <v>10</v>
      </c>
      <c r="E161" s="2">
        <v>188.93</v>
      </c>
      <c r="F161" t="s">
        <v>11</v>
      </c>
      <c r="G161" t="s">
        <v>15</v>
      </c>
    </row>
    <row r="162" spans="1:8">
      <c r="A162" s="1">
        <v>46275</v>
      </c>
      <c r="B162" t="s">
        <v>31</v>
      </c>
      <c r="C162" t="s">
        <v>27</v>
      </c>
      <c r="D162" t="s">
        <v>10</v>
      </c>
      <c r="E162" s="2">
        <v>420</v>
      </c>
      <c r="F162" t="s">
        <v>11</v>
      </c>
      <c r="G162" t="s">
        <v>15</v>
      </c>
    </row>
    <row r="163" spans="1:8">
      <c r="A163" s="1">
        <v>46276</v>
      </c>
      <c r="B163" t="s">
        <v>32</v>
      </c>
      <c r="C163" t="s">
        <v>29</v>
      </c>
      <c r="D163" t="s">
        <v>10</v>
      </c>
      <c r="E163" s="2">
        <v>21.9</v>
      </c>
      <c r="F163" t="s">
        <v>11</v>
      </c>
      <c r="G163" t="s">
        <v>12</v>
      </c>
    </row>
    <row r="164" spans="1:8">
      <c r="A164" s="1">
        <v>46276</v>
      </c>
      <c r="B164" t="s">
        <v>16</v>
      </c>
      <c r="C164" t="s">
        <v>17</v>
      </c>
      <c r="D164" t="s">
        <v>10</v>
      </c>
      <c r="E164" s="2">
        <v>272.17</v>
      </c>
      <c r="F164" t="s">
        <v>11</v>
      </c>
      <c r="G164" t="s">
        <v>12</v>
      </c>
    </row>
    <row r="165" spans="1:8">
      <c r="A165" s="1">
        <v>46277</v>
      </c>
      <c r="B165" t="s">
        <v>33</v>
      </c>
      <c r="C165" t="s">
        <v>27</v>
      </c>
      <c r="D165" t="s">
        <v>10</v>
      </c>
      <c r="E165" s="2">
        <v>153.34</v>
      </c>
      <c r="F165" t="s">
        <v>11</v>
      </c>
      <c r="G165" t="s">
        <v>15</v>
      </c>
    </row>
    <row r="166" spans="1:8">
      <c r="A166" s="1">
        <v>46277</v>
      </c>
      <c r="B166" t="s">
        <v>21</v>
      </c>
      <c r="C166" t="s">
        <v>17</v>
      </c>
      <c r="D166" t="s">
        <v>10</v>
      </c>
      <c r="E166" s="2">
        <v>59.33</v>
      </c>
      <c r="F166" t="s">
        <v>11</v>
      </c>
      <c r="G166" t="s">
        <v>12</v>
      </c>
    </row>
    <row r="167" spans="1:8">
      <c r="A167" s="1">
        <v>46278</v>
      </c>
      <c r="B167" t="s">
        <v>35</v>
      </c>
      <c r="C167" t="s">
        <v>36</v>
      </c>
      <c r="D167" t="s">
        <v>10</v>
      </c>
      <c r="E167" s="2">
        <v>155.51</v>
      </c>
      <c r="F167" t="s">
        <v>11</v>
      </c>
      <c r="G167" t="s">
        <v>12</v>
      </c>
    </row>
    <row r="168" spans="1:8">
      <c r="A168" s="1">
        <v>46279</v>
      </c>
      <c r="B168" t="s">
        <v>8</v>
      </c>
      <c r="C168" t="s">
        <v>9</v>
      </c>
      <c r="D168" t="s">
        <v>10</v>
      </c>
      <c r="E168" s="2">
        <v>27.42</v>
      </c>
      <c r="F168" t="s">
        <v>11</v>
      </c>
      <c r="G168" t="s">
        <v>12</v>
      </c>
    </row>
    <row r="169" spans="1:8">
      <c r="A169" s="1">
        <v>46280</v>
      </c>
      <c r="B169" t="s">
        <v>37</v>
      </c>
      <c r="C169" t="s">
        <v>27</v>
      </c>
      <c r="D169" t="s">
        <v>10</v>
      </c>
      <c r="E169" s="2">
        <v>109.9</v>
      </c>
      <c r="F169" t="s">
        <v>11</v>
      </c>
      <c r="G169" t="s">
        <v>15</v>
      </c>
    </row>
    <row r="170" spans="1:8">
      <c r="A170" s="1">
        <v>46281</v>
      </c>
      <c r="B170" t="s">
        <v>38</v>
      </c>
      <c r="C170" t="s">
        <v>14</v>
      </c>
      <c r="D170" t="s">
        <v>10</v>
      </c>
      <c r="E170" s="2">
        <v>121</v>
      </c>
      <c r="F170" t="s">
        <v>11</v>
      </c>
      <c r="G170" t="s">
        <v>15</v>
      </c>
    </row>
    <row r="171" spans="1:8">
      <c r="A171" s="1">
        <v>46283</v>
      </c>
      <c r="B171" t="s">
        <v>16</v>
      </c>
      <c r="C171" t="s">
        <v>17</v>
      </c>
      <c r="D171" t="s">
        <v>10</v>
      </c>
      <c r="E171" s="2">
        <v>334.46</v>
      </c>
      <c r="F171" t="s">
        <v>11</v>
      </c>
      <c r="G171" t="s">
        <v>12</v>
      </c>
    </row>
    <row r="172" spans="1:8">
      <c r="A172" s="1">
        <v>46284</v>
      </c>
      <c r="B172" t="s">
        <v>21</v>
      </c>
      <c r="C172" t="s">
        <v>17</v>
      </c>
      <c r="D172" t="s">
        <v>10</v>
      </c>
      <c r="E172" s="2">
        <v>79.17</v>
      </c>
      <c r="F172" t="s">
        <v>11</v>
      </c>
      <c r="G172" t="s">
        <v>12</v>
      </c>
    </row>
    <row r="173" spans="1:8">
      <c r="A173" s="1">
        <v>46285</v>
      </c>
      <c r="B173" t="s">
        <v>8</v>
      </c>
      <c r="C173" t="s">
        <v>9</v>
      </c>
      <c r="D173" t="s">
        <v>10</v>
      </c>
      <c r="E173" s="2">
        <v>26.79</v>
      </c>
      <c r="F173" t="s">
        <v>11</v>
      </c>
      <c r="G173" t="s">
        <v>12</v>
      </c>
    </row>
    <row r="174" spans="1:8">
      <c r="A174" s="1">
        <v>46285</v>
      </c>
      <c r="B174" t="s">
        <v>41</v>
      </c>
      <c r="C174" t="s">
        <v>42</v>
      </c>
      <c r="D174" t="s">
        <v>43</v>
      </c>
      <c r="E174" s="2">
        <v>2203.8</v>
      </c>
      <c r="F174" t="s">
        <v>24</v>
      </c>
      <c r="G174" t="s">
        <v>15</v>
      </c>
      <c r="H174" t="s">
        <v>44</v>
      </c>
    </row>
    <row r="175" spans="1:8">
      <c r="A175" s="1">
        <v>46286</v>
      </c>
      <c r="B175" t="s">
        <v>45</v>
      </c>
      <c r="C175" t="s">
        <v>46</v>
      </c>
      <c r="D175" t="s">
        <v>10</v>
      </c>
      <c r="E175" s="2">
        <v>259.11</v>
      </c>
      <c r="F175" t="s">
        <v>11</v>
      </c>
      <c r="G175" t="s">
        <v>12</v>
      </c>
    </row>
    <row r="176" spans="1:8">
      <c r="A176" s="1">
        <v>46288</v>
      </c>
      <c r="B176" t="s">
        <v>30</v>
      </c>
      <c r="C176" t="s">
        <v>9</v>
      </c>
      <c r="D176" t="s">
        <v>10</v>
      </c>
      <c r="E176" s="2">
        <v>225.63</v>
      </c>
      <c r="F176" t="s">
        <v>11</v>
      </c>
      <c r="G176" t="s">
        <v>15</v>
      </c>
    </row>
    <row r="177" spans="1:7">
      <c r="A177" s="1">
        <v>46290</v>
      </c>
      <c r="B177" t="s">
        <v>16</v>
      </c>
      <c r="C177" t="s">
        <v>17</v>
      </c>
      <c r="D177" t="s">
        <v>10</v>
      </c>
      <c r="E177" s="2">
        <v>251.61</v>
      </c>
      <c r="F177" t="s">
        <v>11</v>
      </c>
      <c r="G177" t="s">
        <v>12</v>
      </c>
    </row>
    <row r="178" spans="1:7">
      <c r="A178" s="1">
        <v>46291</v>
      </c>
      <c r="B178" t="s">
        <v>21</v>
      </c>
      <c r="C178" t="s">
        <v>17</v>
      </c>
      <c r="D178" t="s">
        <v>10</v>
      </c>
      <c r="E178" s="2">
        <v>61.53</v>
      </c>
      <c r="F178" t="s">
        <v>11</v>
      </c>
      <c r="G178" t="s">
        <v>12</v>
      </c>
    </row>
    <row r="179" spans="1:7">
      <c r="A179" s="1">
        <v>46292</v>
      </c>
      <c r="B179" t="s">
        <v>8</v>
      </c>
      <c r="C179" t="s">
        <v>9</v>
      </c>
      <c r="D179" t="s">
        <v>10</v>
      </c>
      <c r="E179" s="2">
        <v>17.21</v>
      </c>
      <c r="F179" t="s">
        <v>11</v>
      </c>
      <c r="G179" t="s">
        <v>12</v>
      </c>
    </row>
    <row r="180" spans="1:7">
      <c r="A180" s="1">
        <v>46293</v>
      </c>
      <c r="B180" t="s">
        <v>35</v>
      </c>
      <c r="C180" t="s">
        <v>36</v>
      </c>
      <c r="D180" t="s">
        <v>10</v>
      </c>
      <c r="E180" s="2">
        <v>189.01</v>
      </c>
      <c r="F180" t="s">
        <v>11</v>
      </c>
      <c r="G180" t="s">
        <v>12</v>
      </c>
    </row>
  </sheetData>
  <dataValidations count="1">
    <dataValidation type="list" allowBlank="1" showInputMessage="1" showErrorMessage="1" sqref="F2:F180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38.7109375" customWidth="1"/>
    <col min="2" max="2" width="20.7109375" customWidth="1"/>
    <col min="3" max="3" width="70.7109375" customWidth="1"/>
  </cols>
  <sheetData>
    <row r="1" spans="1:3">
      <c r="A1" s="3" t="s">
        <v>47</v>
      </c>
    </row>
    <row r="2" spans="1:3">
      <c r="A2" t="s">
        <v>48</v>
      </c>
    </row>
    <row r="3" spans="1:3">
      <c r="A3" t="s">
        <v>49</v>
      </c>
    </row>
    <row r="5" spans="1:3">
      <c r="A5" s="4" t="s">
        <v>50</v>
      </c>
      <c r="B5" s="4" t="s">
        <v>51</v>
      </c>
      <c r="C5" s="4" t="s">
        <v>52</v>
      </c>
    </row>
    <row r="6" spans="1:3">
      <c r="A6" t="s">
        <v>53</v>
      </c>
      <c r="B6" s="5">
        <f>SUMIFS('Movimentações'!$E$2:$E$180,'Movimentações'!$D$2:$D$180,"Receita",'Movimentações'!$F$2:$F$180,"Sim")</f>
        <v>32037.7</v>
      </c>
      <c r="C6" s="6" t="s">
        <v>54</v>
      </c>
    </row>
    <row r="7" spans="1:3">
      <c r="A7" t="s">
        <v>55</v>
      </c>
      <c r="B7" s="5">
        <f>(SUMIFS('Movimentações'!$E$2:$E$180,'Movimentações'!$D$2:$D$180,"Despesa",'Movimentações'!$F$2:$F$180,"Sim")+SUMIFS('Movimentações'!$E$2:$E$180,'Movimentações'!$D$2:$D$180,"Pagamento de fatura",'Movimentações'!$F$2:$F$180,"Sim"))</f>
        <v>29458.46</v>
      </c>
      <c r="C7" s="6" t="s">
        <v>56</v>
      </c>
    </row>
    <row r="8" spans="1:3">
      <c r="A8" t="s">
        <v>57</v>
      </c>
      <c r="B8" s="5">
        <f>B6-B7</f>
        <v>2579.24</v>
      </c>
      <c r="C8" s="6" t="s">
        <v>58</v>
      </c>
    </row>
    <row r="9" spans="1:3">
      <c r="A9" t="s">
        <v>59</v>
      </c>
      <c r="B9" s="7">
        <f>IF(B6=0,"n/d",B8/B6)</f>
        <v>0.081</v>
      </c>
      <c r="C9" s="6" t="s">
        <v>60</v>
      </c>
    </row>
    <row r="10" spans="1:3">
      <c r="A10" t="s">
        <v>61</v>
      </c>
      <c r="B10">
        <v>6</v>
      </c>
      <c r="C10" s="6" t="s">
        <v>62</v>
      </c>
    </row>
    <row r="11" spans="1:3">
      <c r="A11" t="s">
        <v>63</v>
      </c>
      <c r="B11" s="2">
        <f>B6/B10</f>
        <v>5339.62</v>
      </c>
    </row>
    <row r="12" spans="1:3">
      <c r="A12" t="s">
        <v>64</v>
      </c>
      <c r="B12" s="2">
        <f>B7/B10</f>
        <v>4909.74</v>
      </c>
    </row>
    <row r="13" spans="1:3">
      <c r="A13" t="s">
        <v>65</v>
      </c>
      <c r="B13" t="s">
        <v>27</v>
      </c>
      <c r="C13" s="6" t="s">
        <v>66</v>
      </c>
    </row>
    <row r="14" spans="1:3">
      <c r="A14" t="s">
        <v>67</v>
      </c>
      <c r="B14">
        <v>6</v>
      </c>
    </row>
    <row r="15" spans="1:3">
      <c r="A15" t="s">
        <v>68</v>
      </c>
      <c r="B15">
        <v>7</v>
      </c>
      <c r="C15" s="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28.7109375" customWidth="1"/>
    <col min="2" max="3" width="16.7109375" customWidth="1"/>
  </cols>
  <sheetData>
    <row r="1" spans="1:3">
      <c r="A1" s="4" t="s">
        <v>2</v>
      </c>
      <c r="B1" s="4" t="s">
        <v>4</v>
      </c>
      <c r="C1" s="4" t="s">
        <v>70</v>
      </c>
    </row>
    <row r="2" spans="1:3">
      <c r="A2" t="s">
        <v>27</v>
      </c>
      <c r="B2" s="2">
        <f>(SUMIFS('Movimentações'!$E$2:$E$180,'Movimentações'!$D$2:$D$180,"Despesa",'Movimentações'!$F$2:$F$180,"Sim",'Movimentações'!$C$2:$C$180,$A2)+SUMIFS('Movimentações'!$E$2:$E$180,'Movimentações'!$D$2:$D$180,"Pagamento de fatura",'Movimentações'!$F$2:$F$180,"Sim",'Movimentações'!$C$2:$C$180,$A2))</f>
        <v>13116.59</v>
      </c>
      <c r="C2" s="7">
        <f>IF(SUM($B$2:$B$8)=0,0,B2/SUM($B$2:$B$8))</f>
        <v>0.445</v>
      </c>
    </row>
    <row r="3" spans="1:3">
      <c r="A3" t="s">
        <v>17</v>
      </c>
      <c r="B3" s="2">
        <f>(SUMIFS('Movimentações'!$E$2:$E$180,'Movimentações'!$D$2:$D$180,"Despesa",'Movimentações'!$F$2:$F$180,"Sim",'Movimentações'!$C$2:$C$180,$A3)+SUMIFS('Movimentações'!$E$2:$E$180,'Movimentações'!$D$2:$D$180,"Pagamento de fatura",'Movimentações'!$F$2:$F$180,"Sim",'Movimentações'!$C$2:$C$180,$A3))</f>
        <v>7899.7</v>
      </c>
      <c r="C3" s="7">
        <f>IF(SUM($B$2:$B$8)=0,0,B3/SUM($B$2:$B$8))</f>
        <v>0.268</v>
      </c>
    </row>
    <row r="4" spans="1:3">
      <c r="A4" t="s">
        <v>9</v>
      </c>
      <c r="B4" s="2">
        <f>(SUMIFS('Movimentações'!$E$2:$E$180,'Movimentações'!$D$2:$D$180,"Despesa",'Movimentações'!$F$2:$F$180,"Sim",'Movimentações'!$C$2:$C$180,$A4)+SUMIFS('Movimentações'!$E$2:$E$180,'Movimentações'!$D$2:$D$180,"Pagamento de fatura",'Movimentações'!$F$2:$F$180,"Sim",'Movimentações'!$C$2:$C$180,$A4))</f>
        <v>3200.51</v>
      </c>
      <c r="C4" s="7">
        <f>IF(SUM($B$2:$B$8)=0,0,B4/SUM($B$2:$B$8))</f>
        <v>0.109</v>
      </c>
    </row>
    <row r="5" spans="1:3">
      <c r="A5" t="s">
        <v>36</v>
      </c>
      <c r="B5" s="2">
        <f>(SUMIFS('Movimentações'!$E$2:$E$180,'Movimentações'!$D$2:$D$180,"Despesa",'Movimentações'!$F$2:$F$180,"Sim",'Movimentações'!$C$2:$C$180,$A5)+SUMIFS('Movimentações'!$E$2:$E$180,'Movimentações'!$D$2:$D$180,"Pagamento de fatura",'Movimentações'!$F$2:$F$180,"Sim",'Movimentações'!$C$2:$C$180,$A5))</f>
        <v>1941.58</v>
      </c>
      <c r="C5" s="7">
        <f>IF(SUM($B$2:$B$8)=0,0,B5/SUM($B$2:$B$8))</f>
        <v>0.066</v>
      </c>
    </row>
    <row r="6" spans="1:3">
      <c r="A6" t="s">
        <v>46</v>
      </c>
      <c r="B6" s="2">
        <f>(SUMIFS('Movimentações'!$E$2:$E$180,'Movimentações'!$D$2:$D$180,"Despesa",'Movimentações'!$F$2:$F$180,"Sim",'Movimentações'!$C$2:$C$180,$A6)+SUMIFS('Movimentações'!$E$2:$E$180,'Movimentações'!$D$2:$D$180,"Pagamento de fatura",'Movimentações'!$F$2:$F$180,"Sim",'Movimentações'!$C$2:$C$180,$A6))</f>
        <v>1543.08</v>
      </c>
      <c r="C6" s="7">
        <f>IF(SUM($B$2:$B$8)=0,0,B6/SUM($B$2:$B$8))</f>
        <v>0.052000000000000005</v>
      </c>
    </row>
    <row r="7" spans="1:3">
      <c r="A7" t="s">
        <v>14</v>
      </c>
      <c r="B7" s="2">
        <f>(SUMIFS('Movimentações'!$E$2:$E$180,'Movimentações'!$D$2:$D$180,"Despesa",'Movimentações'!$F$2:$F$180,"Sim",'Movimentações'!$C$2:$C$180,$A7)+SUMIFS('Movimentações'!$E$2:$E$180,'Movimentações'!$D$2:$D$180,"Pagamento de fatura",'Movimentações'!$F$2:$F$180,"Sim",'Movimentações'!$C$2:$C$180,$A7))</f>
        <v>1290.2</v>
      </c>
      <c r="C7" s="7">
        <f>IF(SUM($B$2:$B$8)=0,0,B7/SUM($B$2:$B$8))</f>
        <v>0.044000000000000004</v>
      </c>
    </row>
    <row r="8" spans="1:3">
      <c r="A8" t="s">
        <v>29</v>
      </c>
      <c r="B8" s="2">
        <f>(SUMIFS('Movimentações'!$E$2:$E$180,'Movimentações'!$D$2:$D$180,"Despesa",'Movimentações'!$F$2:$F$180,"Sim",'Movimentações'!$C$2:$C$180,$A8)+SUMIFS('Movimentações'!$E$2:$E$180,'Movimentações'!$D$2:$D$180,"Pagamento de fatura",'Movimentações'!$F$2:$F$180,"Sim",'Movimentações'!$C$2:$C$180,$A8))</f>
        <v>466.8</v>
      </c>
      <c r="C8" s="7">
        <f>IF(SUM($B$2:$B$8)=0,0,B8/SUM($B$2:$B$8))</f>
        <v>0.016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4.7109375" customWidth="1"/>
    <col min="2" max="5" width="18.7109375" customWidth="1"/>
  </cols>
  <sheetData>
    <row r="1" spans="1:5">
      <c r="A1" s="4" t="s">
        <v>71</v>
      </c>
      <c r="B1" s="4" t="s">
        <v>72</v>
      </c>
      <c r="C1" s="4" t="s">
        <v>73</v>
      </c>
      <c r="D1" s="4" t="s">
        <v>74</v>
      </c>
      <c r="E1" s="4" t="s">
        <v>75</v>
      </c>
    </row>
    <row r="2" spans="1:5">
      <c r="A2" s="8">
        <v>46113</v>
      </c>
      <c r="B2" s="2">
        <f>SUMIFS('Movimentações'!$E$2:$E$180,'Movimentações'!$D$2:$D$180,"Receita",'Movimentações'!$F$2:$F$180,"Sim",'Movimentações'!$A$2:$A$180,"&gt;="&amp;$A2,'Movimentações'!$A$2:$A$180,"&lt;"&amp;EDATE($A2,1))</f>
        <v>5591.83</v>
      </c>
      <c r="C2" s="2">
        <f>(SUMIFS('Movimentações'!$E$2:$E$180,'Movimentações'!$D$2:$D$180,"Despesa",'Movimentações'!$F$2:$F$180,"Sim",'Movimentações'!$A$2:$A$180,"&gt;="&amp;$A2,'Movimentações'!$A$2:$A$180,"&lt;"&amp;EDATE($A2,1))+SUMIFS('Movimentações'!$E$2:$E$180,'Movimentações'!$D$2:$D$180,"Pagamento de fatura",'Movimentações'!$F$2:$F$180,"Sim",'Movimentações'!$A$2:$A$180,"&gt;="&amp;$A2,'Movimentações'!$A$2:$A$180,"&lt;"&amp;EDATE($A2,1)))</f>
        <v>4951.48</v>
      </c>
      <c r="D2" s="2">
        <f>B2-C2</f>
        <v>640.35</v>
      </c>
      <c r="E2" s="2">
        <f>D2</f>
        <v>640.35</v>
      </c>
    </row>
    <row r="3" spans="1:5">
      <c r="A3" s="8">
        <v>46143</v>
      </c>
      <c r="B3" s="2">
        <f>SUMIFS('Movimentações'!$E$2:$E$180,'Movimentações'!$D$2:$D$180,"Receita",'Movimentações'!$F$2:$F$180,"Sim",'Movimentações'!$A$2:$A$180,"&gt;="&amp;$A3,'Movimentações'!$A$2:$A$180,"&lt;"&amp;EDATE($A3,1))</f>
        <v>5609.44</v>
      </c>
      <c r="C3" s="2">
        <f>(SUMIFS('Movimentações'!$E$2:$E$180,'Movimentações'!$D$2:$D$180,"Despesa",'Movimentações'!$F$2:$F$180,"Sim",'Movimentações'!$A$2:$A$180,"&gt;="&amp;$A3,'Movimentações'!$A$2:$A$180,"&lt;"&amp;EDATE($A3,1))+SUMIFS('Movimentações'!$E$2:$E$180,'Movimentações'!$D$2:$D$180,"Pagamento de fatura",'Movimentações'!$F$2:$F$180,"Sim",'Movimentações'!$A$2:$A$180,"&gt;="&amp;$A3,'Movimentações'!$A$2:$A$180,"&lt;"&amp;EDATE($A3,1)))</f>
        <v>4832.69</v>
      </c>
      <c r="D3" s="2">
        <f>B3-C3</f>
        <v>776.75</v>
      </c>
      <c r="E3" s="2">
        <f>E2+D3</f>
        <v>1417.1</v>
      </c>
    </row>
    <row r="4" spans="1:5">
      <c r="A4" s="8">
        <v>46174</v>
      </c>
      <c r="B4" s="2">
        <f>SUMIFS('Movimentações'!$E$2:$E$180,'Movimentações'!$D$2:$D$180,"Receita",'Movimentações'!$F$2:$F$180,"Sim",'Movimentações'!$A$2:$A$180,"&gt;="&amp;$A4,'Movimentações'!$A$2:$A$180,"&lt;"&amp;EDATE($A4,1))</f>
        <v>4800.0</v>
      </c>
      <c r="C4" s="2">
        <f>(SUMIFS('Movimentações'!$E$2:$E$180,'Movimentações'!$D$2:$D$180,"Despesa",'Movimentações'!$F$2:$F$180,"Sim",'Movimentações'!$A$2:$A$180,"&gt;="&amp;$A4,'Movimentações'!$A$2:$A$180,"&lt;"&amp;EDATE($A4,1))+SUMIFS('Movimentações'!$E$2:$E$180,'Movimentações'!$D$2:$D$180,"Pagamento de fatura",'Movimentações'!$F$2:$F$180,"Sim",'Movimentações'!$A$2:$A$180,"&gt;="&amp;$A4,'Movimentações'!$A$2:$A$180,"&lt;"&amp;EDATE($A4,1)))</f>
        <v>4842.09</v>
      </c>
      <c r="D4" s="2">
        <f>B4-C4</f>
        <v>-42.09</v>
      </c>
      <c r="E4" s="2">
        <f>E3+D4</f>
        <v>1375.01</v>
      </c>
    </row>
    <row r="5" spans="1:5">
      <c r="A5" s="8">
        <v>46204</v>
      </c>
      <c r="B5" s="2">
        <f>SUMIFS('Movimentações'!$E$2:$E$180,'Movimentações'!$D$2:$D$180,"Receita",'Movimentações'!$F$2:$F$180,"Sim",'Movimentações'!$A$2:$A$180,"&gt;="&amp;$A5,'Movimentações'!$A$2:$A$180,"&lt;"&amp;EDATE($A5,1))</f>
        <v>5567.08</v>
      </c>
      <c r="C5" s="2">
        <f>(SUMIFS('Movimentações'!$E$2:$E$180,'Movimentações'!$D$2:$D$180,"Despesa",'Movimentações'!$F$2:$F$180,"Sim",'Movimentações'!$A$2:$A$180,"&gt;="&amp;$A5,'Movimentações'!$A$2:$A$180,"&lt;"&amp;EDATE($A5,1))+SUMIFS('Movimentações'!$E$2:$E$180,'Movimentações'!$D$2:$D$180,"Pagamento de fatura",'Movimentações'!$F$2:$F$180,"Sim",'Movimentações'!$A$2:$A$180,"&gt;="&amp;$A5,'Movimentações'!$A$2:$A$180,"&lt;"&amp;EDATE($A5,1)))</f>
        <v>4897.02</v>
      </c>
      <c r="D5" s="2">
        <f>B5-C5</f>
        <v>670.06</v>
      </c>
      <c r="E5" s="2">
        <f>E4+D5</f>
        <v>2045.07</v>
      </c>
    </row>
    <row r="6" spans="1:5">
      <c r="A6" s="8">
        <v>46235</v>
      </c>
      <c r="B6" s="2">
        <f>SUMIFS('Movimentações'!$E$2:$E$180,'Movimentações'!$D$2:$D$180,"Receita",'Movimentações'!$F$2:$F$180,"Sim",'Movimentações'!$A$2:$A$180,"&gt;="&amp;$A6,'Movimentações'!$A$2:$A$180,"&lt;"&amp;EDATE($A6,1))</f>
        <v>5669.35</v>
      </c>
      <c r="C6" s="2">
        <f>(SUMIFS('Movimentações'!$E$2:$E$180,'Movimentações'!$D$2:$D$180,"Despesa",'Movimentações'!$F$2:$F$180,"Sim",'Movimentações'!$A$2:$A$180,"&gt;="&amp;$A6,'Movimentações'!$A$2:$A$180,"&lt;"&amp;EDATE($A6,1))+SUMIFS('Movimentações'!$E$2:$E$180,'Movimentações'!$D$2:$D$180,"Pagamento de fatura",'Movimentações'!$F$2:$F$180,"Sim",'Movimentações'!$A$2:$A$180,"&gt;="&amp;$A6,'Movimentações'!$A$2:$A$180,"&lt;"&amp;EDATE($A6,1)))</f>
        <v>4892.65</v>
      </c>
      <c r="D6" s="2">
        <f>B6-C6</f>
        <v>776.7</v>
      </c>
      <c r="E6" s="2">
        <f>E5+D6</f>
        <v>2821.77</v>
      </c>
    </row>
    <row r="7" spans="1:5">
      <c r="A7" s="8">
        <v>46266</v>
      </c>
      <c r="B7" s="2">
        <f>SUMIFS('Movimentações'!$E$2:$E$180,'Movimentações'!$D$2:$D$180,"Receita",'Movimentações'!$F$2:$F$180,"Sim",'Movimentações'!$A$2:$A$180,"&gt;="&amp;$A7,'Movimentações'!$A$2:$A$180,"&lt;"&amp;EDATE($A7,1))</f>
        <v>4800.0</v>
      </c>
      <c r="C7" s="2">
        <f>(SUMIFS('Movimentações'!$E$2:$E$180,'Movimentações'!$D$2:$D$180,"Despesa",'Movimentações'!$F$2:$F$180,"Sim",'Movimentações'!$A$2:$A$180,"&gt;="&amp;$A7,'Movimentações'!$A$2:$A$180,"&lt;"&amp;EDATE($A7,1))+SUMIFS('Movimentações'!$E$2:$E$180,'Movimentações'!$D$2:$D$180,"Pagamento de fatura",'Movimentações'!$F$2:$F$180,"Sim",'Movimentações'!$A$2:$A$180,"&gt;="&amp;$A7,'Movimentações'!$A$2:$A$180,"&lt;"&amp;EDATE($A7,1)))</f>
        <v>5042.53</v>
      </c>
      <c r="D7" s="2">
        <f>B7-C7</f>
        <v>-242.53</v>
      </c>
      <c r="E7" s="2">
        <f>E6+D7</f>
        <v>2579.24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6.7109375" customWidth="1"/>
    <col min="2" max="2" width="36.7109375" customWidth="1"/>
    <col min="3" max="3" width="80.7109375" customWidth="1"/>
    <col min="4" max="4" width="60.7109375" customWidth="1"/>
  </cols>
  <sheetData>
    <row r="1" spans="1:4">
      <c r="A1" s="4" t="s">
        <v>3</v>
      </c>
      <c r="B1" s="4" t="s">
        <v>76</v>
      </c>
      <c r="C1" s="4" t="s">
        <v>77</v>
      </c>
      <c r="D1" s="4" t="s">
        <v>78</v>
      </c>
    </row>
    <row r="2" spans="1:4">
      <c r="A2" s="9" t="s">
        <v>79</v>
      </c>
      <c r="B2" s="9" t="s">
        <v>80</v>
      </c>
      <c r="C2" s="9" t="s">
        <v>81</v>
      </c>
      <c r="D2" s="9" t="s">
        <v>82</v>
      </c>
    </row>
    <row r="3" spans="1:4">
      <c r="A3" s="9" t="s">
        <v>83</v>
      </c>
      <c r="B3" s="9" t="s">
        <v>84</v>
      </c>
      <c r="C3" s="9" t="s">
        <v>85</v>
      </c>
      <c r="D3" s="9" t="s">
        <v>86</v>
      </c>
    </row>
    <row r="4" spans="1:4">
      <c r="A4" s="9" t="s">
        <v>87</v>
      </c>
      <c r="B4" s="9" t="s">
        <v>88</v>
      </c>
      <c r="C4" s="9" t="s">
        <v>89</v>
      </c>
      <c r="D4" s="9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1" width="34.7109375" customWidth="1"/>
    <col min="2" max="5" width="20.7109375" customWidth="1"/>
  </cols>
  <sheetData>
    <row r="1" spans="1:5">
      <c r="A1" s="4" t="s">
        <v>2</v>
      </c>
      <c r="B1" s="4" t="s">
        <v>91</v>
      </c>
      <c r="C1" s="4" t="s">
        <v>92</v>
      </c>
      <c r="D1" s="4" t="s">
        <v>93</v>
      </c>
      <c r="E1" s="4" t="s">
        <v>94</v>
      </c>
    </row>
    <row r="2" spans="1:5">
      <c r="A2" t="s">
        <v>17</v>
      </c>
      <c r="B2" s="2">
        <v>1316.62</v>
      </c>
      <c r="C2" s="10">
        <v>0.15</v>
      </c>
      <c r="D2" s="2">
        <f>B2*C2</f>
        <v>197.49</v>
      </c>
      <c r="E2" s="2">
        <f>D2*12</f>
        <v>2369.91</v>
      </c>
    </row>
    <row r="3" spans="1:5">
      <c r="A3" t="s">
        <v>9</v>
      </c>
      <c r="B3" s="2">
        <v>533.42</v>
      </c>
      <c r="C3" s="10">
        <v>0.1</v>
      </c>
      <c r="D3" s="2">
        <f>B3*C3</f>
        <v>53.34</v>
      </c>
      <c r="E3" s="2">
        <f>D3*12</f>
        <v>640.1</v>
      </c>
    </row>
    <row r="5" spans="1:5">
      <c r="A5" s="11" t="s">
        <v>95</v>
      </c>
      <c r="B5" s="10">
        <v>0.05</v>
      </c>
    </row>
    <row r="7" spans="1:5">
      <c r="A7" s="4" t="s">
        <v>96</v>
      </c>
      <c r="B7" s="4" t="s">
        <v>97</v>
      </c>
      <c r="C7" s="4" t="s">
        <v>98</v>
      </c>
    </row>
    <row r="8" spans="1:5">
      <c r="A8" t="s">
        <v>20</v>
      </c>
      <c r="B8" s="2">
        <v>5339.62</v>
      </c>
      <c r="C8" s="2">
        <f>B8*(1+B5)</f>
        <v>5606.6</v>
      </c>
    </row>
    <row r="9" spans="1:5">
      <c r="A9" t="s">
        <v>10</v>
      </c>
      <c r="B9" s="2">
        <v>4909.74</v>
      </c>
      <c r="C9" s="2">
        <f>B9-SUM(D2:D3)</f>
        <v>4658.91</v>
      </c>
    </row>
    <row r="10" spans="1:5">
      <c r="A10" t="s">
        <v>74</v>
      </c>
      <c r="B10" s="5">
        <f>B8-B9</f>
        <v>429.88</v>
      </c>
      <c r="C10" s="5">
        <f>C8-C9</f>
        <v>947.7</v>
      </c>
    </row>
    <row r="11" spans="1:5">
      <c r="A11" t="s">
        <v>99</v>
      </c>
      <c r="C11" s="5">
        <f>C10-B10</f>
        <v>517.82</v>
      </c>
    </row>
    <row r="12" spans="1:5">
      <c r="A12" t="s">
        <v>100</v>
      </c>
      <c r="C12" s="5">
        <f>C11*12</f>
        <v>6213.78</v>
      </c>
    </row>
    <row r="14" spans="1:5" ht="32" customHeight="1">
      <c r="A14" s="6" t="s">
        <v>101</v>
      </c>
      <c r="B14" s="6"/>
      <c r="C14" s="6"/>
      <c r="D14" s="6"/>
      <c r="E14" s="6"/>
    </row>
  </sheetData>
  <mergeCells count="1">
    <mergeCell ref="A14:E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120.7109375" customWidth="1"/>
  </cols>
  <sheetData>
    <row r="1" spans="1:1">
      <c r="A1" s="3" t="s">
        <v>102</v>
      </c>
    </row>
    <row r="3" spans="1:1">
      <c r="A3" s="9" t="s">
        <v>103</v>
      </c>
    </row>
    <row r="4" spans="1:1">
      <c r="A4" s="9" t="s">
        <v>104</v>
      </c>
    </row>
    <row r="5" spans="1:1">
      <c r="A5" s="9" t="s">
        <v>105</v>
      </c>
    </row>
    <row r="6" spans="1:1">
      <c r="A6" s="9" t="s">
        <v>106</v>
      </c>
    </row>
    <row r="7" spans="1:1">
      <c r="A7" s="9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Movimentações</vt:lpstr>
      <vt:lpstr>Resumo</vt:lpstr>
      <vt:lpstr>Categorias</vt:lpstr>
      <vt:lpstr>Análise temporal</vt:lpstr>
      <vt:lpstr>Recomendações</vt:lpstr>
      <vt:lpstr>Simulação</vt:lpstr>
      <vt:lpstr>Avisos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Assistente Financeiro IA - análise</dc:title>
  <dc:creator/>
  <dc:description>Dados fictícios ou do próprio usuário. Estimativas não garantem resultados.</dc:description>
  <cp:lastModifiedBy/>
  <dcterms:created xsi:type="dcterms:W3CDTF">2026-10-17T20:53:19Z</dcterms:created>
  <dcterms:modified xsi:type="dcterms:W3CDTF">2026-10-17T20:53:19Z</dcterms:modified>
</cp:coreProperties>
</file>